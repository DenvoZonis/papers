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udy\计算思维导论\论文\"/>
    </mc:Choice>
  </mc:AlternateContent>
  <xr:revisionPtr revIDLastSave="0" documentId="13_ncr:1_{D0B23784-A173-4F08-89D5-C1B81B2F82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1" l="1"/>
  <c r="L59" i="1"/>
  <c r="L43" i="1"/>
  <c r="L27" i="1"/>
  <c r="L11" i="1"/>
  <c r="M62" i="1"/>
  <c r="M60" i="1"/>
  <c r="M55" i="1"/>
  <c r="L67" i="1"/>
  <c r="L68" i="1"/>
  <c r="L69" i="1"/>
  <c r="L70" i="1"/>
  <c r="L71" i="1"/>
  <c r="L72" i="1"/>
  <c r="L73" i="1"/>
  <c r="L74" i="1"/>
  <c r="L76" i="1"/>
  <c r="L77" i="1"/>
  <c r="L78" i="1"/>
  <c r="L79" i="1"/>
  <c r="L66" i="1"/>
  <c r="L51" i="1"/>
  <c r="L52" i="1"/>
  <c r="L53" i="1"/>
  <c r="L54" i="1"/>
  <c r="L55" i="1"/>
  <c r="L56" i="1"/>
  <c r="L57" i="1"/>
  <c r="L58" i="1"/>
  <c r="L60" i="1"/>
  <c r="L61" i="1"/>
  <c r="L62" i="1"/>
  <c r="L63" i="1"/>
  <c r="L50" i="1"/>
  <c r="M46" i="1"/>
  <c r="M45" i="1"/>
  <c r="M41" i="1"/>
  <c r="M37" i="1"/>
  <c r="M34" i="1"/>
  <c r="L35" i="1"/>
  <c r="L36" i="1"/>
  <c r="L37" i="1"/>
  <c r="L38" i="1"/>
  <c r="L39" i="1"/>
  <c r="L40" i="1"/>
  <c r="L41" i="1"/>
  <c r="L42" i="1"/>
  <c r="L44" i="1"/>
  <c r="L45" i="1"/>
  <c r="L46" i="1"/>
  <c r="L47" i="1"/>
  <c r="L34" i="1"/>
  <c r="L19" i="1"/>
  <c r="L20" i="1"/>
  <c r="L21" i="1"/>
  <c r="L22" i="1"/>
  <c r="L23" i="1"/>
  <c r="L24" i="1"/>
  <c r="L25" i="1"/>
  <c r="L26" i="1"/>
  <c r="L28" i="1"/>
  <c r="L29" i="1"/>
  <c r="L30" i="1"/>
  <c r="L31" i="1"/>
  <c r="L18" i="1"/>
  <c r="L15" i="1"/>
  <c r="M14" i="1"/>
  <c r="L14" i="1"/>
  <c r="M13" i="1"/>
  <c r="L13" i="1"/>
  <c r="L12" i="1"/>
  <c r="L10" i="1"/>
  <c r="M9" i="1"/>
  <c r="L9" i="1"/>
  <c r="L8" i="1"/>
  <c r="L7" i="1"/>
  <c r="L6" i="1"/>
  <c r="L5" i="1"/>
  <c r="M4" i="1"/>
  <c r="L4" i="1"/>
  <c r="L3" i="1"/>
  <c r="M2" i="1"/>
  <c r="L2" i="1"/>
</calcChain>
</file>

<file path=xl/sharedStrings.xml><?xml version="1.0" encoding="utf-8"?>
<sst xmlns="http://schemas.openxmlformats.org/spreadsheetml/2006/main" count="110" uniqueCount="26">
  <si>
    <t>冒泡排序</t>
    <phoneticPr fontId="1" type="noConversion"/>
  </si>
  <si>
    <t>平均值</t>
    <phoneticPr fontId="1" type="noConversion"/>
  </si>
  <si>
    <t>去除误差的平均值</t>
    <phoneticPr fontId="1" type="noConversion"/>
  </si>
  <si>
    <t>选择排序</t>
    <phoneticPr fontId="1" type="noConversion"/>
  </si>
  <si>
    <t>插入排序</t>
    <phoneticPr fontId="1" type="noConversion"/>
  </si>
  <si>
    <t>希尔排序</t>
    <phoneticPr fontId="1" type="noConversion"/>
  </si>
  <si>
    <t>堆排序</t>
    <phoneticPr fontId="1" type="noConversion"/>
  </si>
  <si>
    <t>归并排序</t>
    <phoneticPr fontId="1" type="noConversion"/>
  </si>
  <si>
    <t>快排1</t>
    <phoneticPr fontId="1" type="noConversion"/>
  </si>
  <si>
    <t>快排2</t>
    <phoneticPr fontId="1" type="noConversion"/>
  </si>
  <si>
    <t>快排3</t>
    <phoneticPr fontId="1" type="noConversion"/>
  </si>
  <si>
    <t>计数排序</t>
    <phoneticPr fontId="1" type="noConversion"/>
  </si>
  <si>
    <t>基数排序</t>
    <phoneticPr fontId="1" type="noConversion"/>
  </si>
  <si>
    <t>桶排序</t>
    <phoneticPr fontId="1" type="noConversion"/>
  </si>
  <si>
    <t>元素数量为100的随机整数数组</t>
    <phoneticPr fontId="1" type="noConversion"/>
  </si>
  <si>
    <t>95%有序</t>
    <phoneticPr fontId="1" type="noConversion"/>
  </si>
  <si>
    <t>逆序</t>
    <phoneticPr fontId="1" type="noConversion"/>
  </si>
  <si>
    <t>少量元素值</t>
    <phoneticPr fontId="1" type="noConversion"/>
  </si>
  <si>
    <t>标准库</t>
    <phoneticPr fontId="1" type="noConversion"/>
  </si>
  <si>
    <t>大数据</t>
    <phoneticPr fontId="1" type="noConversion"/>
  </si>
  <si>
    <t>s</t>
    <phoneticPr fontId="1" type="noConversion"/>
  </si>
  <si>
    <t>单位</t>
    <phoneticPr fontId="1" type="noConversion"/>
  </si>
  <si>
    <t>ms</t>
    <phoneticPr fontId="1" type="noConversion"/>
  </si>
  <si>
    <t>1000000大数据</t>
    <phoneticPr fontId="1" type="noConversion"/>
  </si>
  <si>
    <t>时间单位：ms</t>
    <phoneticPr fontId="1" type="noConversion"/>
  </si>
  <si>
    <t>tim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</si>
</sst>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2" fillId="2" borderId="1" applyNumberFormat="0" applyAlignment="0" applyProtection="0">
      <alignment vertical="center"/>
    </xf>
    <xf numFmtId="0" fontId="3" fillId="3" borderId="1" applyNumberFormat="0" applyAlignment="0" applyProtection="0">
      <alignment vertical="center"/>
    </xf>
  </cellStyleXfs>
  <cellXfs count="4">
    <xf numFmtId="0" fontId="0" fillId="0" borderId="0" xfId="0"/>
    <xf numFmtId="0" fontId="3" fillId="3" borderId="1" xfId="2" applyAlignment="1"/>
    <xf numFmtId="0" fontId="2" fillId="2" borderId="1" xfId="1" applyAlignment="1"/>
    <xf numFmtId="0" fontId="2" fillId="2" borderId="2" xfId="1" applyBorder="1" applyAlignment="1"/>
  </cellXfs>
  <cellStyles count="3">
    <cellStyle name="常规" xfId="0" builtinId="0"/>
    <cellStyle name="计算" xfId="2" builtinId="22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小数据集（随机数组）表现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冒泡排序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Sheet1!$B$2:$L$2</c15:sqref>
                  </c15:fullRef>
                </c:ext>
              </c:extLst>
              <c:f>Sheet1!$L$2</c:f>
              <c:numCache>
                <c:formatCode>General</c:formatCode>
                <c:ptCount val="1"/>
                <c:pt idx="0">
                  <c:v>1.4300000000000002E-2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1-4CAD-98D6-19AB2CE6D7B6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选择排序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Sheet1!$B$3:$L$3</c15:sqref>
                  </c15:fullRef>
                </c:ext>
              </c:extLst>
              <c:f>Sheet1!$L$3</c:f>
              <c:numCache>
                <c:formatCode>General</c:formatCode>
                <c:ptCount val="1"/>
                <c:pt idx="0">
                  <c:v>7.1000000000000004E-3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1-4CAD-98D6-19AB2CE6D7B6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插入排序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Sheet1!$B$4:$L$4</c15:sqref>
                  </c15:fullRef>
                </c:ext>
              </c:extLst>
              <c:f>Sheet1!$L$4</c:f>
              <c:numCache>
                <c:formatCode>General</c:formatCode>
                <c:ptCount val="1"/>
                <c:pt idx="0">
                  <c:v>3.2000000000000002E-3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E1-4CAD-98D6-19AB2CE6D7B6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希尔排序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Sheet1!$B$5:$L$5</c15:sqref>
                  </c15:fullRef>
                </c:ext>
              </c:extLst>
              <c:f>Sheet1!$L$5</c:f>
              <c:numCache>
                <c:formatCode>General</c:formatCode>
                <c:ptCount val="1"/>
                <c:pt idx="0">
                  <c:v>8.6E-3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E1-4CAD-98D6-19AB2CE6D7B6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堆排序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Sheet1!$B$6:$L$6</c15:sqref>
                  </c15:fullRef>
                </c:ext>
              </c:extLst>
              <c:f>Sheet1!$L$6</c:f>
              <c:numCache>
                <c:formatCode>General</c:formatCode>
                <c:ptCount val="1"/>
                <c:pt idx="0">
                  <c:v>7.6E-3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E1-4CAD-98D6-19AB2CE6D7B6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归并排序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Sheet1!$B$7:$L$7</c15:sqref>
                  </c15:fullRef>
                </c:ext>
              </c:extLst>
              <c:f>Sheet1!$L$7</c:f>
              <c:numCache>
                <c:formatCode>General</c:formatCode>
                <c:ptCount val="1"/>
                <c:pt idx="0">
                  <c:v>1.6300000000000002E-2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E1-4CAD-98D6-19AB2CE6D7B6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快排1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Sheet1!$B$8:$L$8</c15:sqref>
                  </c15:fullRef>
                </c:ext>
              </c:extLst>
              <c:f>Sheet1!$L$8</c:f>
              <c:numCache>
                <c:formatCode>General</c:formatCode>
                <c:ptCount val="1"/>
                <c:pt idx="0">
                  <c:v>6.3E-3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E1-4CAD-98D6-19AB2CE6D7B6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快排2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Sheet1!$B$9:$L$9</c15:sqref>
                  </c15:fullRef>
                </c:ext>
              </c:extLst>
              <c:f>Sheet1!$L$9</c:f>
              <c:numCache>
                <c:formatCode>General</c:formatCode>
                <c:ptCount val="1"/>
                <c:pt idx="0">
                  <c:v>8.7000000000000011E-3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E1-4CAD-98D6-19AB2CE6D7B6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快排3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Sheet1!$B$10:$L$10</c15:sqref>
                  </c15:fullRef>
                </c:ext>
              </c:extLst>
              <c:f>Sheet1!$L$10</c:f>
              <c:numCache>
                <c:formatCode>General</c:formatCode>
                <c:ptCount val="1"/>
                <c:pt idx="0">
                  <c:v>7.6000000000000009E-3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E1-4CAD-98D6-19AB2CE6D7B6}"/>
            </c:ext>
          </c:extLst>
        </c:ser>
        <c:ser>
          <c:idx val="9"/>
          <c:order val="9"/>
          <c:tx>
            <c:strRef>
              <c:f>Sheet1!$A$12</c:f>
              <c:strCache>
                <c:ptCount val="1"/>
                <c:pt idx="0">
                  <c:v>计数排序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Sheet1!$B$12:$L$12</c15:sqref>
                  </c15:fullRef>
                </c:ext>
              </c:extLst>
              <c:f>Sheet1!$L$12</c:f>
              <c:numCache>
                <c:formatCode>General</c:formatCode>
                <c:ptCount val="1"/>
                <c:pt idx="0">
                  <c:v>4.5000000000000014E-3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BE1-4CAD-98D6-19AB2CE6D7B6}"/>
            </c:ext>
          </c:extLst>
        </c:ser>
        <c:ser>
          <c:idx val="10"/>
          <c:order val="10"/>
          <c:tx>
            <c:strRef>
              <c:f>Sheet1!$A$13</c:f>
              <c:strCache>
                <c:ptCount val="1"/>
                <c:pt idx="0">
                  <c:v>基数排序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Sheet1!$B$13:$L$13</c15:sqref>
                  </c15:fullRef>
                </c:ext>
              </c:extLst>
              <c:f>Sheet1!$L$13</c:f>
              <c:numCache>
                <c:formatCode>General</c:formatCode>
                <c:ptCount val="1"/>
                <c:pt idx="0">
                  <c:v>5.6000000000000008E-3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E1-4CAD-98D6-19AB2CE6D7B6}"/>
            </c:ext>
          </c:extLst>
        </c:ser>
        <c:ser>
          <c:idx val="11"/>
          <c:order val="11"/>
          <c:tx>
            <c:strRef>
              <c:f>Sheet1!$A$14</c:f>
              <c:strCache>
                <c:ptCount val="1"/>
                <c:pt idx="0">
                  <c:v>桶排序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Sheet1!$B$14:$L$14</c15:sqref>
                  </c15:fullRef>
                </c:ext>
              </c:extLst>
              <c:f>Sheet1!$L$14</c:f>
              <c:numCache>
                <c:formatCode>General</c:formatCode>
                <c:ptCount val="1"/>
                <c:pt idx="0">
                  <c:v>1.37E-2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E1-4CAD-98D6-19AB2CE6D7B6}"/>
            </c:ext>
          </c:extLst>
        </c:ser>
        <c:ser>
          <c:idx val="12"/>
          <c:order val="12"/>
          <c:tx>
            <c:strRef>
              <c:f>Sheet1!$A$15</c:f>
              <c:strCache>
                <c:ptCount val="1"/>
                <c:pt idx="0">
                  <c:v>标准库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Sheet1!$B$15:$L$15</c15:sqref>
                  </c15:fullRef>
                </c:ext>
              </c:extLst>
              <c:f>Sheet1!$L$15</c:f>
              <c:numCache>
                <c:formatCode>General</c:formatCode>
                <c:ptCount val="1"/>
                <c:pt idx="0">
                  <c:v>3.5000000000000005E-3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E1-4CAD-98D6-19AB2CE6D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335199"/>
        <c:axId val="1092325119"/>
      </c:barChart>
      <c:catAx>
        <c:axId val="109233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2325119"/>
        <c:crosses val="autoZero"/>
        <c:auto val="1"/>
        <c:lblAlgn val="ctr"/>
        <c:lblOffset val="100"/>
        <c:noMultiLvlLbl val="0"/>
      </c:catAx>
      <c:valAx>
        <c:axId val="10923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运行时间（单位：</a:t>
                </a:r>
                <a:r>
                  <a:rPr lang="en-US" altLang="zh-CN"/>
                  <a:t>ms</a:t>
                </a:r>
                <a:r>
                  <a:rPr lang="zh-CN" altLang="en-US"/>
                  <a:t>）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233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基本有序数据集表现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Sheet1!$A$20</c:f>
              <c:strCache>
                <c:ptCount val="1"/>
                <c:pt idx="0">
                  <c:v>插入排序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Sheet1!$B$20:$L$20</c15:sqref>
                  </c15:fullRef>
                </c:ext>
              </c:extLst>
              <c:f>Sheet1!$L$20</c:f>
              <c:numCache>
                <c:formatCode>General</c:formatCode>
                <c:ptCount val="1"/>
                <c:pt idx="0">
                  <c:v>0.41639999999999999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6-4BC7-A394-1ED6D286BC24}"/>
            </c:ext>
          </c:extLst>
        </c:ser>
        <c:ser>
          <c:idx val="3"/>
          <c:order val="3"/>
          <c:tx>
            <c:strRef>
              <c:f>Sheet1!$A$21</c:f>
              <c:strCache>
                <c:ptCount val="1"/>
                <c:pt idx="0">
                  <c:v>希尔排序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Sheet1!$B$21:$L$21</c15:sqref>
                  </c15:fullRef>
                </c:ext>
              </c:extLst>
              <c:f>Sheet1!$L$21</c:f>
              <c:numCache>
                <c:formatCode>General</c:formatCode>
                <c:ptCount val="1"/>
                <c:pt idx="0">
                  <c:v>0.37279999999999996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26-4BC7-A394-1ED6D286BC24}"/>
            </c:ext>
          </c:extLst>
        </c:ser>
        <c:ser>
          <c:idx val="4"/>
          <c:order val="4"/>
          <c:tx>
            <c:strRef>
              <c:f>Sheet1!$A$22</c:f>
              <c:strCache>
                <c:ptCount val="1"/>
                <c:pt idx="0">
                  <c:v>堆排序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Sheet1!$B$22:$L$22</c15:sqref>
                  </c15:fullRef>
                </c:ext>
              </c:extLst>
              <c:f>Sheet1!$L$22</c:f>
              <c:numCache>
                <c:formatCode>General</c:formatCode>
                <c:ptCount val="1"/>
                <c:pt idx="0">
                  <c:v>0.39400000000000002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26-4BC7-A394-1ED6D286BC24}"/>
            </c:ext>
          </c:extLst>
        </c:ser>
        <c:ser>
          <c:idx val="5"/>
          <c:order val="5"/>
          <c:tx>
            <c:strRef>
              <c:f>Sheet1!$A$23</c:f>
              <c:strCache>
                <c:ptCount val="1"/>
                <c:pt idx="0">
                  <c:v>归并排序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Sheet1!$B$23:$L$23</c15:sqref>
                  </c15:fullRef>
                </c:ext>
              </c:extLst>
              <c:f>Sheet1!$L$23</c:f>
              <c:numCache>
                <c:formatCode>General</c:formatCode>
                <c:ptCount val="1"/>
                <c:pt idx="0">
                  <c:v>0.68779999999999997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26-4BC7-A394-1ED6D286BC24}"/>
            </c:ext>
          </c:extLst>
        </c:ser>
        <c:ser>
          <c:idx val="7"/>
          <c:order val="7"/>
          <c:tx>
            <c:strRef>
              <c:f>Sheet1!$A$25</c:f>
              <c:strCache>
                <c:ptCount val="1"/>
                <c:pt idx="0">
                  <c:v>快排2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Sheet1!$B$25:$L$25</c15:sqref>
                  </c15:fullRef>
                </c:ext>
              </c:extLst>
              <c:f>Sheet1!$L$25</c:f>
              <c:numCache>
                <c:formatCode>General</c:formatCode>
                <c:ptCount val="1"/>
                <c:pt idx="0">
                  <c:v>0.35459999999999992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26-4BC7-A394-1ED6D286BC24}"/>
            </c:ext>
          </c:extLst>
        </c:ser>
        <c:ser>
          <c:idx val="8"/>
          <c:order val="8"/>
          <c:tx>
            <c:strRef>
              <c:f>Sheet1!$A$26</c:f>
              <c:strCache>
                <c:ptCount val="1"/>
                <c:pt idx="0">
                  <c:v>快排3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Sheet1!$B$26:$L$26</c15:sqref>
                  </c15:fullRef>
                </c:ext>
              </c:extLst>
              <c:f>Sheet1!$L$26</c:f>
              <c:numCache>
                <c:formatCode>General</c:formatCode>
                <c:ptCount val="1"/>
                <c:pt idx="0">
                  <c:v>0.23510000000000003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26-4BC7-A394-1ED6D286BC24}"/>
            </c:ext>
          </c:extLst>
        </c:ser>
        <c:ser>
          <c:idx val="9"/>
          <c:order val="9"/>
          <c:tx>
            <c:strRef>
              <c:f>Sheet1!$A$28</c:f>
              <c:strCache>
                <c:ptCount val="1"/>
                <c:pt idx="0">
                  <c:v>计数排序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Sheet1!$B$28:$L$28</c15:sqref>
                  </c15:fullRef>
                </c:ext>
              </c:extLst>
              <c:f>Sheet1!$L$28</c:f>
              <c:numCache>
                <c:formatCode>General</c:formatCode>
                <c:ptCount val="1"/>
                <c:pt idx="0">
                  <c:v>6.9999999999999993E-2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26-4BC7-A394-1ED6D286B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222575"/>
        <c:axId val="12372177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冒泡排序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Sheet1!$B$18:$L$18</c15:sqref>
                        </c15:fullRef>
                        <c15:formulaRef>
                          <c15:sqref>Sheet1!$L$18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16.087900000000001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26-4BC7-A394-1ED6D286BC2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Sheet1!$A$19</c15:sqref>
                        </c15:formulaRef>
                      </c:ext>
                    </c:extLst>
                    <c:strCache>
                      <c:ptCount val="1"/>
                      <c:pt idx="0">
                        <c:v>选择排序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Sheet1!$B$19:$L$19</c15:sqref>
                        </c15:fullRef>
                        <c15:formulaRef>
                          <c15:sqref>Sheet1!$L$19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10.839400000000001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026-4BC7-A394-1ED6D286BC2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Sheet1!$A$24</c15:sqref>
                        </c15:formulaRef>
                      </c:ext>
                    </c:extLst>
                    <c:strCache>
                      <c:ptCount val="1"/>
                      <c:pt idx="0">
                        <c:v>快排1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Sheet1!$B$24:$L$24</c15:sqref>
                        </c15:fullRef>
                        <c15:formulaRef>
                          <c15:sqref>Sheet1!$L$24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5.2544999999999993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026-4BC7-A394-1ED6D286BC2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10"/>
          <c:tx>
            <c:strRef>
              <c:f>Sheet1!$A$29</c:f>
              <c:strCache>
                <c:ptCount val="1"/>
                <c:pt idx="0">
                  <c:v>基数排序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Sheet1!$B$29:$L$29</c15:sqref>
                  </c15:fullRef>
                </c:ext>
              </c:extLst>
              <c:f>Sheet1!$L$29</c:f>
              <c:numCache>
                <c:formatCode>General</c:formatCode>
                <c:ptCount val="1"/>
                <c:pt idx="0">
                  <c:v>0.16629999999999998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26-4BC7-A394-1ED6D286BC24}"/>
            </c:ext>
          </c:extLst>
        </c:ser>
        <c:ser>
          <c:idx val="11"/>
          <c:order val="11"/>
          <c:tx>
            <c:strRef>
              <c:f>Sheet1!$A$30</c:f>
              <c:strCache>
                <c:ptCount val="1"/>
                <c:pt idx="0">
                  <c:v>桶排序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Sheet1!$B$30:$L$30</c15:sqref>
                  </c15:fullRef>
                </c:ext>
              </c:extLst>
              <c:f>Sheet1!$L$30</c:f>
              <c:numCache>
                <c:formatCode>General</c:formatCode>
                <c:ptCount val="1"/>
                <c:pt idx="0">
                  <c:v>0.62309999999999988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26-4BC7-A394-1ED6D286BC24}"/>
            </c:ext>
          </c:extLst>
        </c:ser>
        <c:ser>
          <c:idx val="12"/>
          <c:order val="12"/>
          <c:tx>
            <c:strRef>
              <c:f>Sheet1!$A$31</c:f>
              <c:strCache>
                <c:ptCount val="1"/>
                <c:pt idx="0">
                  <c:v>标准库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Sheet1!$B$31:$L$31</c15:sqref>
                  </c15:fullRef>
                </c:ext>
              </c:extLst>
              <c:f>Sheet1!$L$31</c:f>
              <c:numCache>
                <c:formatCode>General</c:formatCode>
                <c:ptCount val="1"/>
                <c:pt idx="0">
                  <c:v>0.18540000000000004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26-4BC7-A394-1ED6D286B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222575"/>
        <c:axId val="1237217775"/>
      </c:lineChart>
      <c:catAx>
        <c:axId val="123722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7217775"/>
        <c:crosses val="autoZero"/>
        <c:auto val="1"/>
        <c:lblAlgn val="ctr"/>
        <c:lblOffset val="100"/>
        <c:noMultiLvlLbl val="0"/>
      </c:catAx>
      <c:valAx>
        <c:axId val="123721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运行时间（单位：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ms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722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逆序数据集表现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Sheet1!$A$34</c:f>
              <c:strCache>
                <c:ptCount val="1"/>
                <c:pt idx="0">
                  <c:v>冒泡排序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Sheet1!$B$34:$L$34</c15:sqref>
                  </c15:fullRef>
                </c:ext>
              </c:extLst>
              <c:f>Sheet1!$L$34</c:f>
              <c:numCache>
                <c:formatCode>General</c:formatCode>
                <c:ptCount val="1"/>
                <c:pt idx="0">
                  <c:v>10.668800000000001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D-4B05-B7E5-E44664085BEB}"/>
            </c:ext>
          </c:extLst>
        </c:ser>
        <c:ser>
          <c:idx val="1"/>
          <c:order val="1"/>
          <c:tx>
            <c:strRef>
              <c:f>Sheet1!$A$35</c:f>
              <c:strCache>
                <c:ptCount val="1"/>
                <c:pt idx="0">
                  <c:v>选择排序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Sheet1!$B$35:$L$35</c15:sqref>
                  </c15:fullRef>
                </c:ext>
              </c:extLst>
              <c:f>Sheet1!$L$35</c:f>
              <c:numCache>
                <c:formatCode>General</c:formatCode>
                <c:ptCount val="1"/>
                <c:pt idx="0">
                  <c:v>11.7659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AD-4B05-B7E5-E44664085BEB}"/>
            </c:ext>
          </c:extLst>
        </c:ser>
        <c:ser>
          <c:idx val="2"/>
          <c:order val="2"/>
          <c:tx>
            <c:strRef>
              <c:f>Sheet1!$A$36</c:f>
              <c:strCache>
                <c:ptCount val="1"/>
                <c:pt idx="0">
                  <c:v>插入排序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Sheet1!$B$36:$L$36</c15:sqref>
                  </c15:fullRef>
                </c:ext>
              </c:extLst>
              <c:f>Sheet1!$L$36</c:f>
              <c:numCache>
                <c:formatCode>General</c:formatCode>
                <c:ptCount val="1"/>
                <c:pt idx="0">
                  <c:v>10.4085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AD-4B05-B7E5-E44664085BEB}"/>
            </c:ext>
          </c:extLst>
        </c:ser>
        <c:ser>
          <c:idx val="3"/>
          <c:order val="3"/>
          <c:tx>
            <c:strRef>
              <c:f>Sheet1!$A$37</c:f>
              <c:strCache>
                <c:ptCount val="1"/>
                <c:pt idx="0">
                  <c:v>希尔排序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Sheet1!$B$37:$L$37</c15:sqref>
                  </c15:fullRef>
                </c:ext>
              </c:extLst>
              <c:f>Sheet1!$L$37</c:f>
              <c:numCache>
                <c:formatCode>General</c:formatCode>
                <c:ptCount val="1"/>
                <c:pt idx="0">
                  <c:v>7.4900000000000008E-2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AD-4B05-B7E5-E44664085BEB}"/>
            </c:ext>
          </c:extLst>
        </c:ser>
        <c:ser>
          <c:idx val="4"/>
          <c:order val="4"/>
          <c:tx>
            <c:strRef>
              <c:f>Sheet1!$A$38</c:f>
              <c:strCache>
                <c:ptCount val="1"/>
                <c:pt idx="0">
                  <c:v>堆排序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Sheet1!$B$38:$L$38</c15:sqref>
                  </c15:fullRef>
                </c:ext>
              </c:extLst>
              <c:f>Sheet1!$L$38</c:f>
              <c:numCache>
                <c:formatCode>General</c:formatCode>
                <c:ptCount val="1"/>
                <c:pt idx="0">
                  <c:v>0.4071999999999999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AD-4B05-B7E5-E44664085BEB}"/>
            </c:ext>
          </c:extLst>
        </c:ser>
        <c:ser>
          <c:idx val="5"/>
          <c:order val="5"/>
          <c:tx>
            <c:strRef>
              <c:f>Sheet1!$A$39</c:f>
              <c:strCache>
                <c:ptCount val="1"/>
                <c:pt idx="0">
                  <c:v>归并排序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Sheet1!$B$39:$L$39</c15:sqref>
                  </c15:fullRef>
                </c:ext>
              </c:extLst>
              <c:f>Sheet1!$L$39</c:f>
              <c:numCache>
                <c:formatCode>General</c:formatCode>
                <c:ptCount val="1"/>
                <c:pt idx="0">
                  <c:v>0.62430000000000008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AD-4B05-B7E5-E44664085BEB}"/>
            </c:ext>
          </c:extLst>
        </c:ser>
        <c:ser>
          <c:idx val="6"/>
          <c:order val="6"/>
          <c:tx>
            <c:strRef>
              <c:f>Sheet1!$A$40</c:f>
              <c:strCache>
                <c:ptCount val="1"/>
                <c:pt idx="0">
                  <c:v>快排1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Sheet1!$B$40:$L$40</c15:sqref>
                  </c15:fullRef>
                </c:ext>
              </c:extLst>
              <c:f>Sheet1!$L$40</c:f>
              <c:numCache>
                <c:formatCode>General</c:formatCode>
                <c:ptCount val="1"/>
                <c:pt idx="0">
                  <c:v>5.0206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AD-4B05-B7E5-E44664085BEB}"/>
            </c:ext>
          </c:extLst>
        </c:ser>
        <c:ser>
          <c:idx val="7"/>
          <c:order val="7"/>
          <c:tx>
            <c:strRef>
              <c:f>Sheet1!$A$41</c:f>
              <c:strCache>
                <c:ptCount val="1"/>
                <c:pt idx="0">
                  <c:v>快排2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Sheet1!$B$41:$L$41</c15:sqref>
                  </c15:fullRef>
                </c:ext>
              </c:extLst>
              <c:f>Sheet1!$L$41</c:f>
              <c:numCache>
                <c:formatCode>General</c:formatCode>
                <c:ptCount val="1"/>
                <c:pt idx="0">
                  <c:v>8.3953999999999986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AD-4B05-B7E5-E44664085BEB}"/>
            </c:ext>
          </c:extLst>
        </c:ser>
        <c:ser>
          <c:idx val="8"/>
          <c:order val="8"/>
          <c:tx>
            <c:strRef>
              <c:f>Sheet1!$A$42</c:f>
              <c:strCache>
                <c:ptCount val="1"/>
                <c:pt idx="0">
                  <c:v>快排3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Sheet1!$B$42:$L$42</c15:sqref>
                  </c15:fullRef>
                </c:ext>
              </c:extLst>
              <c:f>Sheet1!$L$42</c:f>
              <c:numCache>
                <c:formatCode>General</c:formatCode>
                <c:ptCount val="1"/>
                <c:pt idx="0">
                  <c:v>0.22570000000000001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AD-4B05-B7E5-E44664085BEB}"/>
            </c:ext>
          </c:extLst>
        </c:ser>
        <c:ser>
          <c:idx val="9"/>
          <c:order val="9"/>
          <c:tx>
            <c:strRef>
              <c:f>Sheet1!$A$44</c:f>
              <c:strCache>
                <c:ptCount val="1"/>
                <c:pt idx="0">
                  <c:v>计数排序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Sheet1!$B$44:$L$44</c15:sqref>
                  </c15:fullRef>
                </c:ext>
              </c:extLst>
              <c:f>Sheet1!$L$44</c:f>
              <c:numCache>
                <c:formatCode>General</c:formatCode>
                <c:ptCount val="1"/>
                <c:pt idx="0">
                  <c:v>6.5200000000000008E-2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AD-4B05-B7E5-E44664085BEB}"/>
            </c:ext>
          </c:extLst>
        </c:ser>
        <c:ser>
          <c:idx val="10"/>
          <c:order val="10"/>
          <c:tx>
            <c:strRef>
              <c:f>Sheet1!$A$45</c:f>
              <c:strCache>
                <c:ptCount val="1"/>
                <c:pt idx="0">
                  <c:v>基数排序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Sheet1!$B$45:$L$45</c15:sqref>
                  </c15:fullRef>
                </c:ext>
              </c:extLst>
              <c:f>Sheet1!$L$45</c:f>
              <c:numCache>
                <c:formatCode>General</c:formatCode>
                <c:ptCount val="1"/>
                <c:pt idx="0">
                  <c:v>0.18610000000000002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AD-4B05-B7E5-E44664085BEB}"/>
            </c:ext>
          </c:extLst>
        </c:ser>
        <c:ser>
          <c:idx val="11"/>
          <c:order val="11"/>
          <c:tx>
            <c:strRef>
              <c:f>Sheet1!$A$46</c:f>
              <c:strCache>
                <c:ptCount val="1"/>
                <c:pt idx="0">
                  <c:v>桶排序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Sheet1!$B$46:$L$46</c15:sqref>
                  </c15:fullRef>
                </c:ext>
              </c:extLst>
              <c:f>Sheet1!$L$46</c:f>
              <c:numCache>
                <c:formatCode>General</c:formatCode>
                <c:ptCount val="1"/>
                <c:pt idx="0">
                  <c:v>0.51719999999999999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7AD-4B05-B7E5-E44664085BEB}"/>
            </c:ext>
          </c:extLst>
        </c:ser>
        <c:ser>
          <c:idx val="12"/>
          <c:order val="12"/>
          <c:tx>
            <c:strRef>
              <c:f>Sheet1!$A$47</c:f>
              <c:strCache>
                <c:ptCount val="1"/>
                <c:pt idx="0">
                  <c:v>标准库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Sheet1!$B$47:$L$47</c15:sqref>
                  </c15:fullRef>
                </c:ext>
              </c:extLst>
              <c:f>Sheet1!$L$47</c:f>
              <c:numCache>
                <c:formatCode>General</c:formatCode>
                <c:ptCount val="1"/>
                <c:pt idx="0">
                  <c:v>4.1100000000000005E-2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AD-4B05-B7E5-E44664085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01103"/>
        <c:axId val="1237407823"/>
      </c:barChart>
      <c:catAx>
        <c:axId val="123740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7407823"/>
        <c:crosses val="autoZero"/>
        <c:auto val="1"/>
        <c:lblAlgn val="ctr"/>
        <c:lblOffset val="100"/>
        <c:noMultiLvlLbl val="0"/>
      </c:catAx>
      <c:valAx>
        <c:axId val="123740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运行时间（单位：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ms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740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Sheet1!$A$50</c:f>
              <c:strCache>
                <c:ptCount val="1"/>
                <c:pt idx="0">
                  <c:v>冒泡排序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Sheet1!$B$50:$L$50</c15:sqref>
                  </c15:fullRef>
                </c:ext>
              </c:extLst>
              <c:f>Sheet1!$L$50</c:f>
              <c:numCache>
                <c:formatCode>General</c:formatCode>
                <c:ptCount val="1"/>
                <c:pt idx="0">
                  <c:v>82.114699999999999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C-4B76-BE71-61B68681D80B}"/>
            </c:ext>
          </c:extLst>
        </c:ser>
        <c:ser>
          <c:idx val="11"/>
          <c:order val="11"/>
          <c:tx>
            <c:strRef>
              <c:f>Sheet1!$A$62</c:f>
              <c:strCache>
                <c:ptCount val="1"/>
                <c:pt idx="0">
                  <c:v>桶排序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Sheet1!$B$62:$L$62</c15:sqref>
                  </c15:fullRef>
                </c:ext>
              </c:extLst>
              <c:f>Sheet1!$L$62</c:f>
              <c:numCache>
                <c:formatCode>General</c:formatCode>
                <c:ptCount val="1"/>
                <c:pt idx="0">
                  <c:v>0.19469999999999998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27C-4B76-BE71-61B68681D80B}"/>
            </c:ext>
          </c:extLst>
        </c:ser>
        <c:ser>
          <c:idx val="12"/>
          <c:order val="12"/>
          <c:tx>
            <c:strRef>
              <c:f>Sheet1!$A$63</c:f>
              <c:strCache>
                <c:ptCount val="1"/>
                <c:pt idx="0">
                  <c:v>标准库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Sheet1!$B$63:$L$63</c15:sqref>
                  </c15:fullRef>
                </c:ext>
              </c:extLst>
              <c:f>Sheet1!$L$63</c:f>
              <c:numCache>
                <c:formatCode>General</c:formatCode>
                <c:ptCount val="1"/>
                <c:pt idx="0">
                  <c:v>0.1716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27C-4B76-BE71-61B68681D80B}"/>
            </c:ext>
          </c:extLst>
        </c:ser>
        <c:ser>
          <c:idx val="1"/>
          <c:order val="1"/>
          <c:tx>
            <c:strRef>
              <c:f>Sheet1!$A$51</c:f>
              <c:strCache>
                <c:ptCount val="1"/>
                <c:pt idx="0">
                  <c:v>选择排序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Sheet1!$B$51:$L$51</c15:sqref>
                  </c15:fullRef>
                </c:ext>
              </c:extLst>
              <c:f>Sheet1!$L$51</c:f>
              <c:numCache>
                <c:formatCode>General</c:formatCode>
                <c:ptCount val="1"/>
                <c:pt idx="0">
                  <c:v>10.646000000000001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7C-4B76-BE71-61B68681D80B}"/>
            </c:ext>
          </c:extLst>
        </c:ser>
        <c:ser>
          <c:idx val="2"/>
          <c:order val="2"/>
          <c:tx>
            <c:strRef>
              <c:f>Sheet1!$A$52</c:f>
              <c:strCache>
                <c:ptCount val="1"/>
                <c:pt idx="0">
                  <c:v>插入排序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Sheet1!$B$52:$L$52</c15:sqref>
                  </c15:fullRef>
                </c:ext>
              </c:extLst>
              <c:f>Sheet1!$L$52</c:f>
              <c:numCache>
                <c:formatCode>General</c:formatCode>
                <c:ptCount val="1"/>
                <c:pt idx="0">
                  <c:v>5.0227000000000004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C-4B76-BE71-61B68681D80B}"/>
            </c:ext>
          </c:extLst>
        </c:ser>
        <c:ser>
          <c:idx val="3"/>
          <c:order val="3"/>
          <c:tx>
            <c:strRef>
              <c:f>Sheet1!$A$53</c:f>
              <c:strCache>
                <c:ptCount val="1"/>
                <c:pt idx="0">
                  <c:v>希尔排序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Sheet1!$B$53:$L$53</c15:sqref>
                  </c15:fullRef>
                </c:ext>
              </c:extLst>
              <c:f>Sheet1!$L$53</c:f>
              <c:numCache>
                <c:formatCode>General</c:formatCode>
                <c:ptCount val="1"/>
                <c:pt idx="0">
                  <c:v>0.24149999999999999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7C-4B76-BE71-61B68681D80B}"/>
            </c:ext>
          </c:extLst>
        </c:ser>
        <c:ser>
          <c:idx val="4"/>
          <c:order val="4"/>
          <c:tx>
            <c:strRef>
              <c:f>Sheet1!$A$54</c:f>
              <c:strCache>
                <c:ptCount val="1"/>
                <c:pt idx="0">
                  <c:v>堆排序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Sheet1!$B$54:$L$54</c15:sqref>
                  </c15:fullRef>
                </c:ext>
              </c:extLst>
              <c:f>Sheet1!$L$54</c:f>
              <c:numCache>
                <c:formatCode>General</c:formatCode>
                <c:ptCount val="1"/>
                <c:pt idx="0">
                  <c:v>0.47159999999999991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C-4B76-BE71-61B68681D80B}"/>
            </c:ext>
          </c:extLst>
        </c:ser>
        <c:ser>
          <c:idx val="5"/>
          <c:order val="5"/>
          <c:tx>
            <c:strRef>
              <c:f>Sheet1!$A$55</c:f>
              <c:strCache>
                <c:ptCount val="1"/>
                <c:pt idx="0">
                  <c:v>归并排序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Sheet1!$B$55:$L$55</c15:sqref>
                  </c15:fullRef>
                </c:ext>
              </c:extLst>
              <c:f>Sheet1!$L$55</c:f>
              <c:numCache>
                <c:formatCode>General</c:formatCode>
                <c:ptCount val="1"/>
                <c:pt idx="0">
                  <c:v>0.97339999999999982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7C-4B76-BE71-61B68681D80B}"/>
            </c:ext>
          </c:extLst>
        </c:ser>
        <c:ser>
          <c:idx val="6"/>
          <c:order val="6"/>
          <c:tx>
            <c:strRef>
              <c:f>Sheet1!$A$56</c:f>
              <c:strCache>
                <c:ptCount val="1"/>
                <c:pt idx="0">
                  <c:v>快排1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Sheet1!$B$56:$L$56</c15:sqref>
                  </c15:fullRef>
                </c:ext>
              </c:extLst>
              <c:f>Sheet1!$L$56</c:f>
              <c:numCache>
                <c:formatCode>General</c:formatCode>
                <c:ptCount val="1"/>
                <c:pt idx="0">
                  <c:v>8.1958000000000002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7C-4B76-BE71-61B68681D80B}"/>
            </c:ext>
          </c:extLst>
        </c:ser>
        <c:ser>
          <c:idx val="7"/>
          <c:order val="7"/>
          <c:tx>
            <c:strRef>
              <c:f>Sheet1!$A$57</c:f>
              <c:strCache>
                <c:ptCount val="1"/>
                <c:pt idx="0">
                  <c:v>快排2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Sheet1!$B$57:$L$57</c15:sqref>
                  </c15:fullRef>
                </c:ext>
              </c:extLst>
              <c:f>Sheet1!$L$57</c:f>
              <c:numCache>
                <c:formatCode>General</c:formatCode>
                <c:ptCount val="1"/>
                <c:pt idx="0">
                  <c:v>0.82089999999999996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7C-4B76-BE71-61B68681D80B}"/>
            </c:ext>
          </c:extLst>
        </c:ser>
        <c:ser>
          <c:idx val="8"/>
          <c:order val="8"/>
          <c:tx>
            <c:strRef>
              <c:f>Sheet1!$A$58</c:f>
              <c:strCache>
                <c:ptCount val="1"/>
                <c:pt idx="0">
                  <c:v>快排3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Sheet1!$B$58:$L$58</c15:sqref>
                  </c15:fullRef>
                </c:ext>
              </c:extLst>
              <c:f>Sheet1!$L$58</c:f>
              <c:numCache>
                <c:formatCode>General</c:formatCode>
                <c:ptCount val="1"/>
                <c:pt idx="0">
                  <c:v>0.11549999999999998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7C-4B76-BE71-61B68681D80B}"/>
            </c:ext>
          </c:extLst>
        </c:ser>
        <c:ser>
          <c:idx val="9"/>
          <c:order val="9"/>
          <c:tx>
            <c:strRef>
              <c:f>Sheet1!$A$60</c:f>
              <c:strCache>
                <c:ptCount val="1"/>
                <c:pt idx="0">
                  <c:v>计数排序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Sheet1!$B$60:$L$60</c15:sqref>
                  </c15:fullRef>
                </c:ext>
              </c:extLst>
              <c:f>Sheet1!$L$60</c:f>
              <c:numCache>
                <c:formatCode>General</c:formatCode>
                <c:ptCount val="1"/>
                <c:pt idx="0">
                  <c:v>0.15590000000000001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7C-4B76-BE71-61B68681D80B}"/>
            </c:ext>
          </c:extLst>
        </c:ser>
        <c:ser>
          <c:idx val="10"/>
          <c:order val="10"/>
          <c:tx>
            <c:strRef>
              <c:f>Sheet1!$A$61</c:f>
              <c:strCache>
                <c:ptCount val="1"/>
                <c:pt idx="0">
                  <c:v>基数排序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Sheet1!$B$61:$L$61</c15:sqref>
                  </c15:fullRef>
                </c:ext>
              </c:extLst>
              <c:f>Sheet1!$L$61</c:f>
              <c:numCache>
                <c:formatCode>General</c:formatCode>
                <c:ptCount val="1"/>
                <c:pt idx="0">
                  <c:v>0.21669999999999998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7C-4B76-BE71-61B68681D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970191"/>
        <c:axId val="1144973071"/>
      </c:barChart>
      <c:catAx>
        <c:axId val="114497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4973071"/>
        <c:crosses val="autoZero"/>
        <c:auto val="1"/>
        <c:lblAlgn val="ctr"/>
        <c:lblOffset val="100"/>
        <c:noMultiLvlLbl val="0"/>
      </c:catAx>
      <c:valAx>
        <c:axId val="114497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运行时间（单位：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ms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497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strRef>
              <c:f>Sheet1!$A$78</c:f>
              <c:strCache>
                <c:ptCount val="1"/>
                <c:pt idx="0">
                  <c:v>桶排序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Sheet1!$B$78:$L$78</c15:sqref>
                  </c15:fullRef>
                </c:ext>
              </c:extLst>
              <c:f>Sheet1!$L$78</c:f>
              <c:numCache>
                <c:formatCode>General</c:formatCode>
                <c:ptCount val="1"/>
                <c:pt idx="0">
                  <c:v>167.85050000000001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433-4377-BDF6-42E89D6D5FA8}"/>
            </c:ext>
          </c:extLst>
        </c:ser>
        <c:ser>
          <c:idx val="12"/>
          <c:order val="12"/>
          <c:tx>
            <c:strRef>
              <c:f>Sheet1!$A$79</c:f>
              <c:strCache>
                <c:ptCount val="1"/>
                <c:pt idx="0">
                  <c:v>标准库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Sheet1!$B$79:$L$79</c15:sqref>
                  </c15:fullRef>
                </c:ext>
              </c:extLst>
              <c:f>Sheet1!$L$79</c:f>
              <c:numCache>
                <c:formatCode>General</c:formatCode>
                <c:ptCount val="1"/>
                <c:pt idx="0">
                  <c:v>51.658100000000005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33-4377-BDF6-42E89D6D5FA8}"/>
            </c:ext>
          </c:extLst>
        </c:ser>
        <c:ser>
          <c:idx val="1"/>
          <c:order val="1"/>
          <c:tx>
            <c:strRef>
              <c:f>Sheet1!$A$67</c:f>
              <c:strCache>
                <c:ptCount val="1"/>
                <c:pt idx="0">
                  <c:v>选择排序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Sheet1!$B$67:$L$67</c15:sqref>
                  </c15:fullRef>
                </c:ext>
              </c:extLst>
              <c:f>Sheet1!$L$67</c:f>
              <c:numCache>
                <c:formatCode>General</c:formatCode>
                <c:ptCount val="1"/>
                <c:pt idx="0">
                  <c:v>100.30359999999999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3-4377-BDF6-42E89D6D5FA8}"/>
            </c:ext>
          </c:extLst>
        </c:ser>
        <c:ser>
          <c:idx val="3"/>
          <c:order val="3"/>
          <c:tx>
            <c:strRef>
              <c:f>Sheet1!$A$69</c:f>
              <c:strCache>
                <c:ptCount val="1"/>
                <c:pt idx="0">
                  <c:v>希尔排序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Sheet1!$B$69:$L$69</c15:sqref>
                  </c15:fullRef>
                </c:ext>
              </c:extLst>
              <c:f>Sheet1!$L$69</c:f>
              <c:numCache>
                <c:formatCode>General</c:formatCode>
                <c:ptCount val="1"/>
                <c:pt idx="0">
                  <c:v>75.636899999999997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3-4377-BDF6-42E89D6D5FA8}"/>
            </c:ext>
          </c:extLst>
        </c:ser>
        <c:ser>
          <c:idx val="4"/>
          <c:order val="4"/>
          <c:tx>
            <c:strRef>
              <c:f>Sheet1!$A$70</c:f>
              <c:strCache>
                <c:ptCount val="1"/>
                <c:pt idx="0">
                  <c:v>堆排序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Sheet1!$B$70:$L$70</c15:sqref>
                  </c15:fullRef>
                </c:ext>
              </c:extLst>
              <c:f>Sheet1!$L$70</c:f>
              <c:numCache>
                <c:formatCode>General</c:formatCode>
                <c:ptCount val="1"/>
                <c:pt idx="0">
                  <c:v>91.286299999999983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33-4377-BDF6-42E89D6D5FA8}"/>
            </c:ext>
          </c:extLst>
        </c:ser>
        <c:ser>
          <c:idx val="5"/>
          <c:order val="5"/>
          <c:tx>
            <c:strRef>
              <c:f>Sheet1!$A$71</c:f>
              <c:strCache>
                <c:ptCount val="1"/>
                <c:pt idx="0">
                  <c:v>归并排序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Sheet1!$B$71:$L$71</c15:sqref>
                  </c15:fullRef>
                </c:ext>
              </c:extLst>
              <c:f>Sheet1!$L$71</c:f>
              <c:numCache>
                <c:formatCode>General</c:formatCode>
                <c:ptCount val="1"/>
                <c:pt idx="0">
                  <c:v>125.5047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33-4377-BDF6-42E89D6D5FA8}"/>
            </c:ext>
          </c:extLst>
        </c:ser>
        <c:ser>
          <c:idx val="6"/>
          <c:order val="6"/>
          <c:tx>
            <c:strRef>
              <c:f>Sheet1!$A$72</c:f>
              <c:strCache>
                <c:ptCount val="1"/>
                <c:pt idx="0">
                  <c:v>快排1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Sheet1!$B$72:$L$72</c15:sqref>
                  </c15:fullRef>
                </c:ext>
              </c:extLst>
              <c:f>Sheet1!$L$72</c:f>
              <c:numCache>
                <c:formatCode>General</c:formatCode>
                <c:ptCount val="1"/>
                <c:pt idx="0">
                  <c:v>78.943380000000005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33-4377-BDF6-42E89D6D5FA8}"/>
            </c:ext>
          </c:extLst>
        </c:ser>
        <c:ser>
          <c:idx val="7"/>
          <c:order val="7"/>
          <c:tx>
            <c:strRef>
              <c:f>Sheet1!$A$73</c:f>
              <c:strCache>
                <c:ptCount val="1"/>
                <c:pt idx="0">
                  <c:v>快排2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Sheet1!$B$73:$L$73</c15:sqref>
                  </c15:fullRef>
                </c:ext>
              </c:extLst>
              <c:f>Sheet1!$L$73</c:f>
              <c:numCache>
                <c:formatCode>General</c:formatCode>
                <c:ptCount val="1"/>
                <c:pt idx="0">
                  <c:v>56.3001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33-4377-BDF6-42E89D6D5FA8}"/>
            </c:ext>
          </c:extLst>
        </c:ser>
        <c:ser>
          <c:idx val="8"/>
          <c:order val="8"/>
          <c:tx>
            <c:strRef>
              <c:f>Sheet1!$A$74</c:f>
              <c:strCache>
                <c:ptCount val="1"/>
                <c:pt idx="0">
                  <c:v>快排3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Sheet1!$B$74:$L$74</c15:sqref>
                  </c15:fullRef>
                </c:ext>
              </c:extLst>
              <c:f>Sheet1!$L$74</c:f>
              <c:numCache>
                <c:formatCode>General</c:formatCode>
                <c:ptCount val="1"/>
                <c:pt idx="0">
                  <c:v>56.971199999999989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33-4377-BDF6-42E89D6D5FA8}"/>
            </c:ext>
          </c:extLst>
        </c:ser>
        <c:ser>
          <c:idx val="9"/>
          <c:order val="9"/>
          <c:tx>
            <c:strRef>
              <c:f>Sheet1!$A$76</c:f>
              <c:strCache>
                <c:ptCount val="1"/>
                <c:pt idx="0">
                  <c:v>计数排序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Sheet1!$B$76:$L$76</c15:sqref>
                  </c15:fullRef>
                </c:ext>
              </c:extLst>
              <c:f>Sheet1!$L$76</c:f>
              <c:numCache>
                <c:formatCode>General</c:formatCode>
                <c:ptCount val="1"/>
                <c:pt idx="0">
                  <c:v>28.553800000000006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433-4377-BDF6-42E89D6D5FA8}"/>
            </c:ext>
          </c:extLst>
        </c:ser>
        <c:ser>
          <c:idx val="10"/>
          <c:order val="10"/>
          <c:tx>
            <c:strRef>
              <c:f>Sheet1!$A$77</c:f>
              <c:strCache>
                <c:ptCount val="1"/>
                <c:pt idx="0">
                  <c:v>基数排序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Sheet1!$B$77:$L$77</c15:sqref>
                  </c15:fullRef>
                </c:ext>
              </c:extLst>
              <c:f>Sheet1!$L$77</c:f>
              <c:numCache>
                <c:formatCode>General</c:formatCode>
                <c:ptCount val="1"/>
                <c:pt idx="0">
                  <c:v>30.125500000000006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33-4377-BDF6-42E89D6D5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972127"/>
        <c:axId val="13919726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Sheet1!$A$66</c15:sqref>
                        </c15:formulaRef>
                      </c:ext>
                    </c:extLst>
                    <c:strCache>
                      <c:ptCount val="1"/>
                      <c:pt idx="0">
                        <c:v>冒泡排序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Sheet1!$B$66:$L$66</c15:sqref>
                        </c15:fullRef>
                        <c15:formulaRef>
                          <c15:sqref>Sheet1!$L$66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1023.8149999999999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433-4377-BDF6-42E89D6D5FA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Sheet1!$A$68</c15:sqref>
                        </c15:formulaRef>
                      </c:ext>
                    </c:extLst>
                    <c:strCache>
                      <c:ptCount val="1"/>
                      <c:pt idx="0">
                        <c:v>插入排序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Sheet1!$B$68:$L$68</c15:sqref>
                        </c15:fullRef>
                        <c15:formulaRef>
                          <c15:sqref>Sheet1!$L$68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52216.07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433-4377-BDF6-42E89D6D5FA8}"/>
                  </c:ext>
                </c:extLst>
              </c15:ser>
            </c15:filteredBarSeries>
          </c:ext>
        </c:extLst>
      </c:barChart>
      <c:catAx>
        <c:axId val="13919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1972607"/>
        <c:crosses val="autoZero"/>
        <c:auto val="1"/>
        <c:lblAlgn val="ctr"/>
        <c:lblOffset val="100"/>
        <c:noMultiLvlLbl val="0"/>
      </c:catAx>
      <c:valAx>
        <c:axId val="13919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197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0</xdr:row>
      <xdr:rowOff>57150</xdr:rowOff>
    </xdr:from>
    <xdr:to>
      <xdr:col>20</xdr:col>
      <xdr:colOff>25400</xdr:colOff>
      <xdr:row>16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5646D20-20F9-441B-14B9-1B53B5A9C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63500</xdr:colOff>
      <xdr:row>17</xdr:row>
      <xdr:rowOff>44450</xdr:rowOff>
    </xdr:from>
    <xdr:to>
      <xdr:col>21</xdr:col>
      <xdr:colOff>495300</xdr:colOff>
      <xdr:row>33</xdr:row>
      <xdr:rowOff>120650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A330AF8-B86B-C01A-A83E-64D7BB3F4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50800</xdr:colOff>
      <xdr:row>33</xdr:row>
      <xdr:rowOff>165100</xdr:rowOff>
    </xdr:from>
    <xdr:to>
      <xdr:col>20</xdr:col>
      <xdr:colOff>0</xdr:colOff>
      <xdr:row>50</xdr:row>
      <xdr:rowOff>63500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A292065-6A97-AF47-3B2F-61E52B44E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393700</xdr:colOff>
      <xdr:row>50</xdr:row>
      <xdr:rowOff>133350</xdr:rowOff>
    </xdr:from>
    <xdr:to>
      <xdr:col>20</xdr:col>
      <xdr:colOff>342900</xdr:colOff>
      <xdr:row>67</xdr:row>
      <xdr:rowOff>31750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8C5D0B6-EF22-761B-49B5-B38D3FD85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342900</xdr:colOff>
      <xdr:row>67</xdr:row>
      <xdr:rowOff>95250</xdr:rowOff>
    </xdr:from>
    <xdr:to>
      <xdr:col>20</xdr:col>
      <xdr:colOff>292100</xdr:colOff>
      <xdr:row>83</xdr:row>
      <xdr:rowOff>171450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7FF0FA6-6F43-FBB3-3FB7-83CE0F879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9"/>
  <sheetViews>
    <sheetView tabSelected="1" topLeftCell="A13" zoomScale="150" zoomScaleNormal="150" workbookViewId="0">
      <selection activeCell="L27" sqref="L27"/>
    </sheetView>
  </sheetViews>
  <sheetFormatPr defaultRowHeight="14" x14ac:dyDescent="0.3"/>
  <cols>
    <col min="13" max="13" width="16.9140625" customWidth="1"/>
    <col min="22" max="22" width="13.08203125" customWidth="1"/>
    <col min="23" max="23" width="26.4140625" customWidth="1"/>
    <col min="27" max="27" width="14.75" customWidth="1"/>
  </cols>
  <sheetData>
    <row r="1" spans="1:27" x14ac:dyDescent="0.3">
      <c r="A1" t="s">
        <v>14</v>
      </c>
      <c r="L1" t="s">
        <v>1</v>
      </c>
      <c r="M1" t="s">
        <v>2</v>
      </c>
      <c r="V1" t="s">
        <v>24</v>
      </c>
      <c r="W1" t="s">
        <v>14</v>
      </c>
      <c r="X1" t="s">
        <v>15</v>
      </c>
      <c r="Y1" t="s">
        <v>16</v>
      </c>
      <c r="Z1" t="s">
        <v>17</v>
      </c>
      <c r="AA1" t="s">
        <v>23</v>
      </c>
    </row>
    <row r="2" spans="1:27" x14ac:dyDescent="0.3">
      <c r="A2" s="2" t="s">
        <v>0</v>
      </c>
      <c r="B2">
        <v>1.2E-2</v>
      </c>
      <c r="C2">
        <v>6.0000000000000001E-3</v>
      </c>
      <c r="D2">
        <v>6.0000000000000001E-3</v>
      </c>
      <c r="E2">
        <v>7.0000000000000001E-3</v>
      </c>
      <c r="F2">
        <v>7.1999999999999995E-2</v>
      </c>
      <c r="G2">
        <v>7.0000000000000001E-3</v>
      </c>
      <c r="H2">
        <v>0.01</v>
      </c>
      <c r="I2">
        <v>0.01</v>
      </c>
      <c r="J2">
        <v>6.0000000000000001E-3</v>
      </c>
      <c r="K2">
        <v>7.0000000000000001E-3</v>
      </c>
      <c r="L2" s="1">
        <f t="shared" ref="L2:L15" si="0">AVERAGE(B2:K2)</f>
        <v>1.4300000000000002E-2</v>
      </c>
      <c r="M2">
        <f>AVERAGE(B2,C2,D2,E2,G2,H2,I2,J2,K2)</f>
        <v>7.8888888888888897E-3</v>
      </c>
      <c r="V2" s="2" t="s">
        <v>0</v>
      </c>
      <c r="W2">
        <v>1.4300000000000002E-2</v>
      </c>
      <c r="X2">
        <v>16.087900000000001</v>
      </c>
      <c r="Y2">
        <v>10.668800000000001</v>
      </c>
      <c r="Z2">
        <v>82.114699999999999</v>
      </c>
      <c r="AA2">
        <v>1023815</v>
      </c>
    </row>
    <row r="3" spans="1:27" x14ac:dyDescent="0.3">
      <c r="A3" s="2" t="s">
        <v>3</v>
      </c>
      <c r="B3">
        <v>4.0000000000000001E-3</v>
      </c>
      <c r="C3">
        <v>7.0000000000000001E-3</v>
      </c>
      <c r="D3">
        <v>7.0000000000000001E-3</v>
      </c>
      <c r="E3">
        <v>6.0000000000000001E-3</v>
      </c>
      <c r="F3">
        <v>0.01</v>
      </c>
      <c r="G3">
        <v>6.0000000000000001E-3</v>
      </c>
      <c r="H3">
        <v>7.0000000000000001E-3</v>
      </c>
      <c r="I3">
        <v>6.0000000000000001E-3</v>
      </c>
      <c r="J3">
        <v>0.01</v>
      </c>
      <c r="K3">
        <v>8.0000000000000002E-3</v>
      </c>
      <c r="L3" s="1">
        <f t="shared" si="0"/>
        <v>7.1000000000000004E-3</v>
      </c>
      <c r="V3" s="2" t="s">
        <v>3</v>
      </c>
      <c r="W3">
        <v>7.1000000000000004E-3</v>
      </c>
      <c r="X3">
        <v>10.839400000000001</v>
      </c>
      <c r="Y3">
        <v>11.7659</v>
      </c>
      <c r="Z3">
        <v>10.646000000000001</v>
      </c>
      <c r="AA3">
        <v>100303.6</v>
      </c>
    </row>
    <row r="4" spans="1:27" x14ac:dyDescent="0.3">
      <c r="A4" s="2" t="s">
        <v>4</v>
      </c>
      <c r="B4">
        <v>2E-3</v>
      </c>
      <c r="C4">
        <v>2E-3</v>
      </c>
      <c r="D4">
        <v>8.9999999999999993E-3</v>
      </c>
      <c r="E4">
        <v>3.0000000000000001E-3</v>
      </c>
      <c r="F4">
        <v>4.0000000000000001E-3</v>
      </c>
      <c r="G4">
        <v>2E-3</v>
      </c>
      <c r="H4">
        <v>2E-3</v>
      </c>
      <c r="I4">
        <v>4.0000000000000001E-3</v>
      </c>
      <c r="J4">
        <v>2E-3</v>
      </c>
      <c r="K4">
        <v>2E-3</v>
      </c>
      <c r="L4" s="1">
        <f t="shared" si="0"/>
        <v>3.2000000000000002E-3</v>
      </c>
      <c r="M4">
        <f>AVERAGE(B4,C4,E4,F4,G4,H4,I4,J4,K4)</f>
        <v>2.5555555555555557E-3</v>
      </c>
      <c r="V4" s="2" t="s">
        <v>4</v>
      </c>
      <c r="W4">
        <v>3.2000000000000002E-3</v>
      </c>
      <c r="X4">
        <v>0.41639999999999999</v>
      </c>
      <c r="Y4">
        <v>10.4085</v>
      </c>
      <c r="Z4">
        <v>5.0227000000000004</v>
      </c>
      <c r="AA4">
        <v>52216.07</v>
      </c>
    </row>
    <row r="5" spans="1:27" x14ac:dyDescent="0.3">
      <c r="A5" s="2" t="s">
        <v>5</v>
      </c>
      <c r="B5">
        <v>8.9999999999999993E-3</v>
      </c>
      <c r="C5">
        <v>1.2E-2</v>
      </c>
      <c r="D5">
        <v>1.0999999999999999E-2</v>
      </c>
      <c r="E5">
        <v>8.9999999999999993E-3</v>
      </c>
      <c r="F5">
        <v>8.9999999999999993E-3</v>
      </c>
      <c r="G5">
        <v>6.0000000000000001E-3</v>
      </c>
      <c r="H5">
        <v>7.0000000000000001E-3</v>
      </c>
      <c r="I5">
        <v>1.0999999999999999E-2</v>
      </c>
      <c r="J5">
        <v>7.0000000000000001E-3</v>
      </c>
      <c r="K5">
        <v>5.0000000000000001E-3</v>
      </c>
      <c r="L5" s="1">
        <f t="shared" si="0"/>
        <v>8.6E-3</v>
      </c>
      <c r="V5" s="2" t="s">
        <v>5</v>
      </c>
      <c r="W5">
        <v>8.6E-3</v>
      </c>
      <c r="X5">
        <v>0.37279999999999996</v>
      </c>
      <c r="Y5">
        <v>7.4900000000000008E-2</v>
      </c>
      <c r="Z5">
        <v>0.24149999999999999</v>
      </c>
      <c r="AA5">
        <v>75.636899999999997</v>
      </c>
    </row>
    <row r="6" spans="1:27" x14ac:dyDescent="0.3">
      <c r="A6" s="2" t="s">
        <v>6</v>
      </c>
      <c r="B6">
        <v>8.9999999999999993E-3</v>
      </c>
      <c r="C6">
        <v>6.0000000000000001E-3</v>
      </c>
      <c r="D6">
        <v>1.0999999999999999E-2</v>
      </c>
      <c r="E6">
        <v>8.0000000000000002E-3</v>
      </c>
      <c r="F6">
        <v>6.0000000000000001E-3</v>
      </c>
      <c r="G6">
        <v>6.0000000000000001E-3</v>
      </c>
      <c r="H6">
        <v>8.0000000000000002E-3</v>
      </c>
      <c r="I6">
        <v>6.0000000000000001E-3</v>
      </c>
      <c r="J6">
        <v>5.0000000000000001E-3</v>
      </c>
      <c r="K6">
        <v>1.0999999999999999E-2</v>
      </c>
      <c r="L6" s="1">
        <f t="shared" si="0"/>
        <v>7.6E-3</v>
      </c>
      <c r="V6" s="2" t="s">
        <v>6</v>
      </c>
      <c r="W6">
        <v>7.6E-3</v>
      </c>
      <c r="X6">
        <v>0.39400000000000002</v>
      </c>
      <c r="Y6">
        <v>0.4071999999999999</v>
      </c>
      <c r="Z6">
        <v>0.47159999999999991</v>
      </c>
      <c r="AA6">
        <v>91.286299999999983</v>
      </c>
    </row>
    <row r="7" spans="1:27" x14ac:dyDescent="0.3">
      <c r="A7" s="2" t="s">
        <v>7</v>
      </c>
      <c r="B7">
        <v>0.02</v>
      </c>
      <c r="C7">
        <v>1.6E-2</v>
      </c>
      <c r="D7">
        <v>0.02</v>
      </c>
      <c r="E7">
        <v>1.2999999999999999E-2</v>
      </c>
      <c r="F7">
        <v>0.02</v>
      </c>
      <c r="G7">
        <v>1.4E-2</v>
      </c>
      <c r="H7">
        <v>1.2999999999999999E-2</v>
      </c>
      <c r="I7">
        <v>1.6E-2</v>
      </c>
      <c r="J7">
        <v>1.7999999999999999E-2</v>
      </c>
      <c r="K7">
        <v>1.2999999999999999E-2</v>
      </c>
      <c r="L7" s="1">
        <f t="shared" si="0"/>
        <v>1.6300000000000002E-2</v>
      </c>
      <c r="V7" s="2" t="s">
        <v>7</v>
      </c>
      <c r="W7">
        <v>1.6300000000000002E-2</v>
      </c>
      <c r="X7">
        <v>0.68779999999999997</v>
      </c>
      <c r="Y7">
        <v>0.62430000000000008</v>
      </c>
      <c r="Z7">
        <v>0.97339999999999982</v>
      </c>
      <c r="AA7">
        <v>125.5047</v>
      </c>
    </row>
    <row r="8" spans="1:27" x14ac:dyDescent="0.3">
      <c r="A8" s="2" t="s">
        <v>8</v>
      </c>
      <c r="B8">
        <v>8.0000000000000002E-3</v>
      </c>
      <c r="C8">
        <v>5.0000000000000001E-3</v>
      </c>
      <c r="D8">
        <v>5.0000000000000001E-3</v>
      </c>
      <c r="E8">
        <v>5.0000000000000001E-3</v>
      </c>
      <c r="F8">
        <v>6.0000000000000001E-3</v>
      </c>
      <c r="G8">
        <v>6.0000000000000001E-3</v>
      </c>
      <c r="H8">
        <v>5.0000000000000001E-3</v>
      </c>
      <c r="I8">
        <v>1.0999999999999999E-2</v>
      </c>
      <c r="J8">
        <v>8.0000000000000002E-3</v>
      </c>
      <c r="K8">
        <v>4.0000000000000001E-3</v>
      </c>
      <c r="L8" s="1">
        <f t="shared" si="0"/>
        <v>6.3E-3</v>
      </c>
      <c r="V8" s="2" t="s">
        <v>8</v>
      </c>
      <c r="W8">
        <v>6.3E-3</v>
      </c>
      <c r="X8">
        <v>5.2544999999999993</v>
      </c>
      <c r="Y8">
        <v>5.0206</v>
      </c>
      <c r="Z8">
        <v>8.1958000000000002</v>
      </c>
      <c r="AA8">
        <v>78943.38</v>
      </c>
    </row>
    <row r="9" spans="1:27" x14ac:dyDescent="0.3">
      <c r="A9" s="2" t="s">
        <v>9</v>
      </c>
      <c r="B9">
        <v>2.4E-2</v>
      </c>
      <c r="C9">
        <v>7.0000000000000001E-3</v>
      </c>
      <c r="D9">
        <v>7.0000000000000001E-3</v>
      </c>
      <c r="E9">
        <v>0.01</v>
      </c>
      <c r="F9">
        <v>6.0000000000000001E-3</v>
      </c>
      <c r="G9">
        <v>6.0000000000000001E-3</v>
      </c>
      <c r="H9">
        <v>6.0000000000000001E-3</v>
      </c>
      <c r="I9">
        <v>0.01</v>
      </c>
      <c r="J9">
        <v>6.0000000000000001E-3</v>
      </c>
      <c r="K9">
        <v>5.0000000000000001E-3</v>
      </c>
      <c r="L9" s="1">
        <f t="shared" si="0"/>
        <v>8.7000000000000011E-3</v>
      </c>
      <c r="M9">
        <f>AVERAGE(C9:K9)</f>
        <v>7.0000000000000001E-3</v>
      </c>
      <c r="V9" s="2" t="s">
        <v>9</v>
      </c>
      <c r="W9">
        <v>8.7000000000000011E-3</v>
      </c>
      <c r="X9">
        <v>0.35459999999999992</v>
      </c>
      <c r="Y9">
        <v>8.3953999999999986</v>
      </c>
      <c r="Z9">
        <v>0.82089999999999996</v>
      </c>
      <c r="AA9">
        <v>56.3001</v>
      </c>
    </row>
    <row r="10" spans="1:27" x14ac:dyDescent="0.3">
      <c r="A10" s="2" t="s">
        <v>10</v>
      </c>
      <c r="B10">
        <v>8.0000000000000002E-3</v>
      </c>
      <c r="C10">
        <v>6.0000000000000001E-3</v>
      </c>
      <c r="D10">
        <v>5.0000000000000001E-3</v>
      </c>
      <c r="E10">
        <v>0.01</v>
      </c>
      <c r="F10">
        <v>8.9999999999999993E-3</v>
      </c>
      <c r="G10">
        <v>8.9999999999999993E-3</v>
      </c>
      <c r="H10">
        <v>6.0000000000000001E-3</v>
      </c>
      <c r="I10">
        <v>0.01</v>
      </c>
      <c r="J10">
        <v>8.0000000000000002E-3</v>
      </c>
      <c r="K10">
        <v>5.0000000000000001E-3</v>
      </c>
      <c r="L10" s="1">
        <f t="shared" si="0"/>
        <v>7.6000000000000009E-3</v>
      </c>
      <c r="V10" s="2" t="s">
        <v>10</v>
      </c>
      <c r="W10">
        <v>7.6000000000000009E-3</v>
      </c>
      <c r="X10">
        <v>0.23510000000000003</v>
      </c>
      <c r="Y10">
        <v>0.22570000000000001</v>
      </c>
      <c r="Z10">
        <v>0.11549999999999998</v>
      </c>
      <c r="AA10">
        <v>56.971199999999989</v>
      </c>
    </row>
    <row r="11" spans="1:27" x14ac:dyDescent="0.3">
      <c r="A11" s="2" t="s">
        <v>25</v>
      </c>
      <c r="B11">
        <v>1.2E-2</v>
      </c>
      <c r="C11">
        <v>8.0000000000000002E-3</v>
      </c>
      <c r="D11">
        <v>1.0999999999999999E-2</v>
      </c>
      <c r="E11">
        <v>6.0000000000000001E-3</v>
      </c>
      <c r="F11">
        <v>4.0000000000000001E-3</v>
      </c>
      <c r="G11">
        <v>3.0000000000000001E-3</v>
      </c>
      <c r="H11">
        <v>3.0000000000000001E-3</v>
      </c>
      <c r="I11">
        <v>3.0000000000000001E-3</v>
      </c>
      <c r="J11">
        <v>1.2E-2</v>
      </c>
      <c r="K11">
        <v>5.0000000000000001E-3</v>
      </c>
      <c r="L11" s="1">
        <f t="shared" si="0"/>
        <v>6.7000000000000002E-3</v>
      </c>
      <c r="V11" s="2"/>
    </row>
    <row r="12" spans="1:27" x14ac:dyDescent="0.3">
      <c r="A12" s="2" t="s">
        <v>11</v>
      </c>
      <c r="B12">
        <v>8.0000000000000002E-3</v>
      </c>
      <c r="C12">
        <v>4.0000000000000001E-3</v>
      </c>
      <c r="D12">
        <v>4.0000000000000001E-3</v>
      </c>
      <c r="E12">
        <v>4.0000000000000001E-3</v>
      </c>
      <c r="F12">
        <v>6.0000000000000001E-3</v>
      </c>
      <c r="G12">
        <v>3.0000000000000001E-3</v>
      </c>
      <c r="H12">
        <v>4.0000000000000001E-3</v>
      </c>
      <c r="I12">
        <v>4.0000000000000001E-3</v>
      </c>
      <c r="J12">
        <v>4.0000000000000001E-3</v>
      </c>
      <c r="K12">
        <v>4.0000000000000001E-3</v>
      </c>
      <c r="L12" s="1">
        <f t="shared" si="0"/>
        <v>4.5000000000000014E-3</v>
      </c>
      <c r="V12" s="2" t="s">
        <v>11</v>
      </c>
      <c r="W12">
        <v>4.5000000000000014E-3</v>
      </c>
      <c r="X12">
        <v>6.9999999999999993E-2</v>
      </c>
      <c r="Y12">
        <v>6.5200000000000008E-2</v>
      </c>
      <c r="Z12">
        <v>0.15590000000000001</v>
      </c>
      <c r="AA12">
        <v>28.553800000000006</v>
      </c>
    </row>
    <row r="13" spans="1:27" x14ac:dyDescent="0.3">
      <c r="A13" s="2" t="s">
        <v>12</v>
      </c>
      <c r="B13">
        <v>1.7000000000000001E-2</v>
      </c>
      <c r="C13">
        <v>5.0000000000000001E-3</v>
      </c>
      <c r="D13">
        <v>4.0000000000000001E-3</v>
      </c>
      <c r="E13">
        <v>3.0000000000000001E-3</v>
      </c>
      <c r="F13">
        <v>3.0000000000000001E-3</v>
      </c>
      <c r="G13">
        <v>3.0000000000000001E-3</v>
      </c>
      <c r="H13">
        <v>6.0000000000000001E-3</v>
      </c>
      <c r="I13">
        <v>7.0000000000000001E-3</v>
      </c>
      <c r="J13">
        <v>4.0000000000000001E-3</v>
      </c>
      <c r="K13">
        <v>4.0000000000000001E-3</v>
      </c>
      <c r="L13" s="1">
        <f t="shared" si="0"/>
        <v>5.6000000000000008E-3</v>
      </c>
      <c r="M13">
        <f>AVERAGE(C13:K13)</f>
        <v>4.333333333333334E-3</v>
      </c>
      <c r="V13" s="2" t="s">
        <v>12</v>
      </c>
      <c r="W13">
        <v>5.6000000000000008E-3</v>
      </c>
      <c r="X13">
        <v>0.16629999999999998</v>
      </c>
      <c r="Y13">
        <v>0.18610000000000002</v>
      </c>
      <c r="Z13">
        <v>0.21669999999999998</v>
      </c>
      <c r="AA13">
        <v>30.125500000000006</v>
      </c>
    </row>
    <row r="14" spans="1:27" x14ac:dyDescent="0.3">
      <c r="A14" s="2" t="s">
        <v>13</v>
      </c>
      <c r="B14">
        <v>1.2999999999999999E-2</v>
      </c>
      <c r="C14">
        <v>1.2999999999999999E-2</v>
      </c>
      <c r="D14">
        <v>0.01</v>
      </c>
      <c r="E14">
        <v>1.2999999999999999E-2</v>
      </c>
      <c r="F14">
        <v>1.0999999999999999E-2</v>
      </c>
      <c r="G14">
        <v>0.02</v>
      </c>
      <c r="H14">
        <v>0.01</v>
      </c>
      <c r="I14">
        <v>1.0999999999999999E-2</v>
      </c>
      <c r="J14">
        <v>2.1999999999999999E-2</v>
      </c>
      <c r="K14">
        <v>1.4E-2</v>
      </c>
      <c r="L14" s="1">
        <f t="shared" si="0"/>
        <v>1.37E-2</v>
      </c>
      <c r="M14">
        <f>AVERAGE(B14:F14,H14:I14,K14)</f>
        <v>1.1874999999999998E-2</v>
      </c>
      <c r="V14" s="2" t="s">
        <v>13</v>
      </c>
      <c r="W14">
        <v>1.37E-2</v>
      </c>
      <c r="X14">
        <v>0.62309999999999988</v>
      </c>
      <c r="Y14">
        <v>0.51719999999999999</v>
      </c>
      <c r="Z14">
        <v>0.19469999999999998</v>
      </c>
      <c r="AA14">
        <v>167.85050000000001</v>
      </c>
    </row>
    <row r="15" spans="1:27" x14ac:dyDescent="0.3">
      <c r="A15" s="2" t="s">
        <v>18</v>
      </c>
      <c r="B15">
        <v>5.0000000000000001E-3</v>
      </c>
      <c r="C15">
        <v>3.0000000000000001E-3</v>
      </c>
      <c r="D15">
        <v>3.0000000000000001E-3</v>
      </c>
      <c r="E15">
        <v>3.0000000000000001E-3</v>
      </c>
      <c r="F15">
        <v>4.0000000000000001E-3</v>
      </c>
      <c r="G15">
        <v>4.0000000000000001E-3</v>
      </c>
      <c r="H15">
        <v>5.0000000000000001E-3</v>
      </c>
      <c r="I15">
        <v>2E-3</v>
      </c>
      <c r="J15">
        <v>3.0000000000000001E-3</v>
      </c>
      <c r="K15">
        <v>3.0000000000000001E-3</v>
      </c>
      <c r="L15" s="1">
        <f t="shared" si="0"/>
        <v>3.5000000000000005E-3</v>
      </c>
      <c r="V15" s="2" t="s">
        <v>18</v>
      </c>
      <c r="W15">
        <v>3.5000000000000005E-3</v>
      </c>
      <c r="X15">
        <v>0.18540000000000004</v>
      </c>
      <c r="Y15">
        <v>4.1100000000000005E-2</v>
      </c>
      <c r="Z15">
        <v>0.1716</v>
      </c>
      <c r="AA15">
        <v>51.658100000000005</v>
      </c>
    </row>
    <row r="17" spans="1:12" x14ac:dyDescent="0.3">
      <c r="A17" t="s">
        <v>15</v>
      </c>
    </row>
    <row r="18" spans="1:12" x14ac:dyDescent="0.3">
      <c r="A18" s="2" t="s">
        <v>0</v>
      </c>
      <c r="B18">
        <v>15.863</v>
      </c>
      <c r="C18">
        <v>16.114000000000001</v>
      </c>
      <c r="D18">
        <v>15.728999999999999</v>
      </c>
      <c r="E18">
        <v>15.872999999999999</v>
      </c>
      <c r="F18">
        <v>16.952000000000002</v>
      </c>
      <c r="G18">
        <v>16.751999999999999</v>
      </c>
      <c r="H18">
        <v>15.978999999999999</v>
      </c>
      <c r="I18">
        <v>15.882999999999999</v>
      </c>
      <c r="J18">
        <v>15.71</v>
      </c>
      <c r="K18">
        <v>16.024000000000001</v>
      </c>
      <c r="L18" s="1">
        <f>AVERAGE(B18:K18)</f>
        <v>16.087900000000001</v>
      </c>
    </row>
    <row r="19" spans="1:12" x14ac:dyDescent="0.3">
      <c r="A19" s="2" t="s">
        <v>3</v>
      </c>
      <c r="B19">
        <v>10.407999999999999</v>
      </c>
      <c r="C19">
        <v>11.345000000000001</v>
      </c>
      <c r="D19">
        <v>11.5</v>
      </c>
      <c r="E19">
        <v>10.917999999999999</v>
      </c>
      <c r="F19">
        <v>10.563000000000001</v>
      </c>
      <c r="G19">
        <v>11.285</v>
      </c>
      <c r="H19">
        <v>10.413</v>
      </c>
      <c r="I19">
        <v>10.949</v>
      </c>
      <c r="J19">
        <v>10.611000000000001</v>
      </c>
      <c r="K19">
        <v>10.401999999999999</v>
      </c>
      <c r="L19" s="1">
        <f t="shared" ref="L19:L31" si="1">AVERAGE(B19:K19)</f>
        <v>10.839400000000001</v>
      </c>
    </row>
    <row r="20" spans="1:12" x14ac:dyDescent="0.3">
      <c r="A20" s="2" t="s">
        <v>4</v>
      </c>
      <c r="B20">
        <v>0.44600000000000001</v>
      </c>
      <c r="C20">
        <v>0.41699999999999998</v>
      </c>
      <c r="D20">
        <v>0.60899999999999999</v>
      </c>
      <c r="E20">
        <v>0.36799999999999999</v>
      </c>
      <c r="F20">
        <v>0.378</v>
      </c>
      <c r="G20">
        <v>0.36799999999999999</v>
      </c>
      <c r="H20">
        <v>0.38100000000000001</v>
      </c>
      <c r="I20">
        <v>0.39200000000000002</v>
      </c>
      <c r="J20">
        <v>0.41299999999999998</v>
      </c>
      <c r="K20">
        <v>0.39200000000000002</v>
      </c>
      <c r="L20" s="1">
        <f t="shared" si="1"/>
        <v>0.41639999999999999</v>
      </c>
    </row>
    <row r="21" spans="1:12" x14ac:dyDescent="0.3">
      <c r="A21" s="2" t="s">
        <v>5</v>
      </c>
      <c r="B21">
        <v>0.46300000000000002</v>
      </c>
      <c r="C21">
        <v>0.32900000000000001</v>
      </c>
      <c r="D21">
        <v>0.32300000000000001</v>
      </c>
      <c r="E21">
        <v>0.44800000000000001</v>
      </c>
      <c r="F21">
        <v>0.33600000000000002</v>
      </c>
      <c r="G21">
        <v>0.34499999999999997</v>
      </c>
      <c r="H21">
        <v>0.33600000000000002</v>
      </c>
      <c r="I21">
        <v>0.45100000000000001</v>
      </c>
      <c r="J21">
        <v>0.32700000000000001</v>
      </c>
      <c r="K21">
        <v>0.37</v>
      </c>
      <c r="L21" s="1">
        <f t="shared" si="1"/>
        <v>0.37279999999999996</v>
      </c>
    </row>
    <row r="22" spans="1:12" x14ac:dyDescent="0.3">
      <c r="A22" s="2" t="s">
        <v>6</v>
      </c>
      <c r="B22">
        <v>0.40899999999999997</v>
      </c>
      <c r="C22">
        <v>0.52800000000000002</v>
      </c>
      <c r="D22">
        <v>0.40899999999999997</v>
      </c>
      <c r="E22">
        <v>0.35799999999999998</v>
      </c>
      <c r="F22">
        <v>0.38100000000000001</v>
      </c>
      <c r="G22">
        <v>0.36199999999999999</v>
      </c>
      <c r="H22">
        <v>0.36099999999999999</v>
      </c>
      <c r="I22">
        <v>0.38900000000000001</v>
      </c>
      <c r="J22">
        <v>0.36499999999999999</v>
      </c>
      <c r="K22">
        <v>0.378</v>
      </c>
      <c r="L22" s="1">
        <f t="shared" si="1"/>
        <v>0.39400000000000002</v>
      </c>
    </row>
    <row r="23" spans="1:12" x14ac:dyDescent="0.3">
      <c r="A23" s="2" t="s">
        <v>7</v>
      </c>
      <c r="B23">
        <v>0.77900000000000003</v>
      </c>
      <c r="C23">
        <v>0.88500000000000001</v>
      </c>
      <c r="D23">
        <v>0.56899999999999995</v>
      </c>
      <c r="E23">
        <v>0.61399999999999999</v>
      </c>
      <c r="F23">
        <v>0.60099999999999998</v>
      </c>
      <c r="G23">
        <v>0.61</v>
      </c>
      <c r="H23">
        <v>0.71599999999999997</v>
      </c>
      <c r="I23">
        <v>0.69699999999999995</v>
      </c>
      <c r="J23">
        <v>0.79200000000000004</v>
      </c>
      <c r="K23">
        <v>0.61499999999999999</v>
      </c>
      <c r="L23" s="1">
        <f t="shared" si="1"/>
        <v>0.68779999999999997</v>
      </c>
    </row>
    <row r="24" spans="1:12" x14ac:dyDescent="0.3">
      <c r="A24" s="2" t="s">
        <v>8</v>
      </c>
      <c r="B24">
        <v>5.2789999999999999</v>
      </c>
      <c r="C24">
        <v>4.9809999999999999</v>
      </c>
      <c r="D24">
        <v>5.3559999999999999</v>
      </c>
      <c r="E24">
        <v>5.383</v>
      </c>
      <c r="F24">
        <v>5.5720000000000001</v>
      </c>
      <c r="G24">
        <v>4.9859999999999998</v>
      </c>
      <c r="H24">
        <v>4.8869999999999996</v>
      </c>
      <c r="I24">
        <v>5.65</v>
      </c>
      <c r="J24">
        <v>5.1980000000000004</v>
      </c>
      <c r="K24">
        <v>5.2530000000000001</v>
      </c>
      <c r="L24" s="1">
        <f t="shared" si="1"/>
        <v>5.2544999999999993</v>
      </c>
    </row>
    <row r="25" spans="1:12" x14ac:dyDescent="0.3">
      <c r="A25" s="2" t="s">
        <v>9</v>
      </c>
      <c r="B25">
        <v>0.56000000000000005</v>
      </c>
      <c r="C25">
        <v>0.30299999999999999</v>
      </c>
      <c r="D25">
        <v>0.33</v>
      </c>
      <c r="E25">
        <v>0.39600000000000002</v>
      </c>
      <c r="F25">
        <v>0.39300000000000002</v>
      </c>
      <c r="G25">
        <v>0.32500000000000001</v>
      </c>
      <c r="H25">
        <v>0.29899999999999999</v>
      </c>
      <c r="I25">
        <v>0.3</v>
      </c>
      <c r="J25">
        <v>0.35199999999999998</v>
      </c>
      <c r="K25">
        <v>0.28799999999999998</v>
      </c>
      <c r="L25" s="1">
        <f t="shared" si="1"/>
        <v>0.35459999999999992</v>
      </c>
    </row>
    <row r="26" spans="1:12" x14ac:dyDescent="0.3">
      <c r="A26" s="2" t="s">
        <v>10</v>
      </c>
      <c r="B26">
        <v>0.22800000000000001</v>
      </c>
      <c r="C26">
        <v>0.223</v>
      </c>
      <c r="D26">
        <v>0.224</v>
      </c>
      <c r="E26">
        <v>0.23899999999999999</v>
      </c>
      <c r="F26">
        <v>0.223</v>
      </c>
      <c r="G26">
        <v>0.22500000000000001</v>
      </c>
      <c r="H26">
        <v>0.25</v>
      </c>
      <c r="I26">
        <v>0.28000000000000003</v>
      </c>
      <c r="J26">
        <v>0.23499999999999999</v>
      </c>
      <c r="K26">
        <v>0.224</v>
      </c>
      <c r="L26" s="1">
        <f t="shared" si="1"/>
        <v>0.23510000000000003</v>
      </c>
    </row>
    <row r="27" spans="1:12" x14ac:dyDescent="0.3">
      <c r="A27" s="2" t="s">
        <v>25</v>
      </c>
      <c r="B27">
        <v>0.10299999999999999</v>
      </c>
      <c r="C27">
        <v>0.108</v>
      </c>
      <c r="D27">
        <v>9.1999999999999998E-2</v>
      </c>
      <c r="E27">
        <v>8.6999999999999994E-2</v>
      </c>
      <c r="F27">
        <v>8.7999999999999995E-2</v>
      </c>
      <c r="G27">
        <v>8.3000000000000004E-2</v>
      </c>
      <c r="H27">
        <v>8.6999999999999994E-2</v>
      </c>
      <c r="I27">
        <v>0.25</v>
      </c>
      <c r="J27">
        <v>0.20599999999999999</v>
      </c>
      <c r="K27">
        <v>0.125</v>
      </c>
      <c r="L27" s="1">
        <f t="shared" si="1"/>
        <v>0.12289999999999998</v>
      </c>
    </row>
    <row r="28" spans="1:12" x14ac:dyDescent="0.3">
      <c r="A28" s="2" t="s">
        <v>11</v>
      </c>
      <c r="B28">
        <v>7.6999999999999999E-2</v>
      </c>
      <c r="C28">
        <v>7.1999999999999995E-2</v>
      </c>
      <c r="D28">
        <v>7.2999999999999995E-2</v>
      </c>
      <c r="E28">
        <v>9.2999999999999999E-2</v>
      </c>
      <c r="F28">
        <v>5.6000000000000001E-2</v>
      </c>
      <c r="G28">
        <v>6.9000000000000006E-2</v>
      </c>
      <c r="H28">
        <v>6.9000000000000006E-2</v>
      </c>
      <c r="I28">
        <v>6.9000000000000006E-2</v>
      </c>
      <c r="J28">
        <v>5.5E-2</v>
      </c>
      <c r="K28">
        <v>6.7000000000000004E-2</v>
      </c>
      <c r="L28" s="1">
        <f t="shared" si="1"/>
        <v>6.9999999999999993E-2</v>
      </c>
    </row>
    <row r="29" spans="1:12" x14ac:dyDescent="0.3">
      <c r="A29" s="2" t="s">
        <v>12</v>
      </c>
      <c r="B29">
        <v>0.13800000000000001</v>
      </c>
      <c r="C29">
        <v>0.13900000000000001</v>
      </c>
      <c r="D29">
        <v>0.14799999999999999</v>
      </c>
      <c r="E29">
        <v>0.21299999999999999</v>
      </c>
      <c r="F29">
        <v>0.16</v>
      </c>
      <c r="G29">
        <v>0.2</v>
      </c>
      <c r="H29">
        <v>0.17199999999999999</v>
      </c>
      <c r="I29">
        <v>0.155</v>
      </c>
      <c r="J29">
        <v>0.184</v>
      </c>
      <c r="K29">
        <v>0.154</v>
      </c>
      <c r="L29" s="1">
        <f t="shared" si="1"/>
        <v>0.16629999999999998</v>
      </c>
    </row>
    <row r="30" spans="1:12" x14ac:dyDescent="0.3">
      <c r="A30" s="2" t="s">
        <v>13</v>
      </c>
      <c r="B30">
        <v>0.51700000000000002</v>
      </c>
      <c r="C30">
        <v>0.5</v>
      </c>
      <c r="D30">
        <v>0.72</v>
      </c>
      <c r="E30">
        <v>0.68</v>
      </c>
      <c r="F30">
        <v>0.61699999999999999</v>
      </c>
      <c r="G30">
        <v>0.67700000000000005</v>
      </c>
      <c r="H30">
        <v>0.52</v>
      </c>
      <c r="I30">
        <v>0.72499999999999998</v>
      </c>
      <c r="J30">
        <v>0.73799999999999999</v>
      </c>
      <c r="K30">
        <v>0.53700000000000003</v>
      </c>
      <c r="L30" s="1">
        <f t="shared" si="1"/>
        <v>0.62309999999999988</v>
      </c>
    </row>
    <row r="31" spans="1:12" x14ac:dyDescent="0.3">
      <c r="A31" s="2" t="s">
        <v>18</v>
      </c>
      <c r="B31">
        <v>0.13700000000000001</v>
      </c>
      <c r="C31">
        <v>0.13700000000000001</v>
      </c>
      <c r="D31">
        <v>0.17699999999999999</v>
      </c>
      <c r="E31">
        <v>0.13700000000000001</v>
      </c>
      <c r="F31">
        <v>0.185</v>
      </c>
      <c r="G31">
        <v>0.26</v>
      </c>
      <c r="H31">
        <v>0.23400000000000001</v>
      </c>
      <c r="I31">
        <v>0.193</v>
      </c>
      <c r="J31">
        <v>0.20300000000000001</v>
      </c>
      <c r="K31">
        <v>0.191</v>
      </c>
      <c r="L31" s="1">
        <f t="shared" si="1"/>
        <v>0.18540000000000004</v>
      </c>
    </row>
    <row r="33" spans="1:13" x14ac:dyDescent="0.3">
      <c r="A33" t="s">
        <v>16</v>
      </c>
    </row>
    <row r="34" spans="1:13" x14ac:dyDescent="0.3">
      <c r="A34" s="2" t="s">
        <v>0</v>
      </c>
      <c r="B34">
        <v>12.475</v>
      </c>
      <c r="C34">
        <v>10.260999999999999</v>
      </c>
      <c r="D34">
        <v>10.333</v>
      </c>
      <c r="E34">
        <v>10.278</v>
      </c>
      <c r="F34">
        <v>10.382</v>
      </c>
      <c r="G34">
        <v>10.413</v>
      </c>
      <c r="H34">
        <v>10.456</v>
      </c>
      <c r="I34">
        <v>10.433</v>
      </c>
      <c r="J34">
        <v>11.346</v>
      </c>
      <c r="K34">
        <v>10.311</v>
      </c>
      <c r="L34" s="1">
        <f>AVERAGE(B34:K34)</f>
        <v>10.668800000000001</v>
      </c>
      <c r="M34">
        <f>AVERAGE(C34:K34)</f>
        <v>10.468111111111114</v>
      </c>
    </row>
    <row r="35" spans="1:13" x14ac:dyDescent="0.3">
      <c r="A35" s="2" t="s">
        <v>3</v>
      </c>
      <c r="B35">
        <v>12.217000000000001</v>
      </c>
      <c r="C35">
        <v>11.592000000000001</v>
      </c>
      <c r="D35">
        <v>11.624000000000001</v>
      </c>
      <c r="E35">
        <v>12.144</v>
      </c>
      <c r="F35">
        <v>11.342000000000001</v>
      </c>
      <c r="G35">
        <v>11.545999999999999</v>
      </c>
      <c r="H35">
        <v>11.391</v>
      </c>
      <c r="I35">
        <v>12.353999999999999</v>
      </c>
      <c r="J35">
        <v>11.776</v>
      </c>
      <c r="K35">
        <v>11.673</v>
      </c>
      <c r="L35" s="1">
        <f t="shared" ref="L35:L47" si="2">AVERAGE(B35:K35)</f>
        <v>11.7659</v>
      </c>
    </row>
    <row r="36" spans="1:13" x14ac:dyDescent="0.3">
      <c r="A36" s="2" t="s">
        <v>4</v>
      </c>
      <c r="B36">
        <v>10.657999999999999</v>
      </c>
      <c r="C36">
        <v>10.292999999999999</v>
      </c>
      <c r="D36">
        <v>10.532999999999999</v>
      </c>
      <c r="E36">
        <v>10.257999999999999</v>
      </c>
      <c r="F36">
        <v>10.172000000000001</v>
      </c>
      <c r="G36">
        <v>10.298</v>
      </c>
      <c r="H36">
        <v>10.593999999999999</v>
      </c>
      <c r="I36">
        <v>10.737</v>
      </c>
      <c r="J36">
        <v>10.16</v>
      </c>
      <c r="K36">
        <v>10.382</v>
      </c>
      <c r="L36" s="1">
        <f t="shared" si="2"/>
        <v>10.4085</v>
      </c>
    </row>
    <row r="37" spans="1:13" x14ac:dyDescent="0.3">
      <c r="A37" s="2" t="s">
        <v>5</v>
      </c>
      <c r="B37">
        <v>8.4000000000000005E-2</v>
      </c>
      <c r="C37">
        <v>5.8999999999999997E-2</v>
      </c>
      <c r="D37">
        <v>0.13300000000000001</v>
      </c>
      <c r="E37">
        <v>6.0999999999999999E-2</v>
      </c>
      <c r="F37">
        <v>0.06</v>
      </c>
      <c r="G37">
        <v>6.4000000000000001E-2</v>
      </c>
      <c r="H37">
        <v>0.08</v>
      </c>
      <c r="I37">
        <v>7.0999999999999994E-2</v>
      </c>
      <c r="J37">
        <v>6.9000000000000006E-2</v>
      </c>
      <c r="K37">
        <v>6.8000000000000005E-2</v>
      </c>
      <c r="L37" s="1">
        <f t="shared" si="2"/>
        <v>7.4900000000000008E-2</v>
      </c>
      <c r="M37">
        <f>AVERAGE(B37:C37,E37:K37)</f>
        <v>6.8444444444444461E-2</v>
      </c>
    </row>
    <row r="38" spans="1:13" x14ac:dyDescent="0.3">
      <c r="A38" s="2" t="s">
        <v>6</v>
      </c>
      <c r="B38">
        <v>0.36799999999999999</v>
      </c>
      <c r="C38">
        <v>0.377</v>
      </c>
      <c r="D38">
        <v>0.44500000000000001</v>
      </c>
      <c r="E38">
        <v>0.36599999999999999</v>
      </c>
      <c r="F38">
        <v>0.41</v>
      </c>
      <c r="G38">
        <v>0.374</v>
      </c>
      <c r="H38">
        <v>0.47799999999999998</v>
      </c>
      <c r="I38">
        <v>0.45400000000000001</v>
      </c>
      <c r="J38">
        <v>0.39700000000000002</v>
      </c>
      <c r="K38">
        <v>0.40300000000000002</v>
      </c>
      <c r="L38" s="1">
        <f t="shared" si="2"/>
        <v>0.4071999999999999</v>
      </c>
    </row>
    <row r="39" spans="1:13" x14ac:dyDescent="0.3">
      <c r="A39" s="2" t="s">
        <v>7</v>
      </c>
      <c r="B39">
        <v>0.749</v>
      </c>
      <c r="C39">
        <v>0.73799999999999999</v>
      </c>
      <c r="D39">
        <v>0.80900000000000005</v>
      </c>
      <c r="E39">
        <v>0.52400000000000002</v>
      </c>
      <c r="F39">
        <v>0.68799999999999994</v>
      </c>
      <c r="G39">
        <v>0.56399999999999995</v>
      </c>
      <c r="H39">
        <v>0.52500000000000002</v>
      </c>
      <c r="I39">
        <v>0.56299999999999994</v>
      </c>
      <c r="J39">
        <v>0.55300000000000005</v>
      </c>
      <c r="K39">
        <v>0.53</v>
      </c>
      <c r="L39" s="1">
        <f t="shared" si="2"/>
        <v>0.62430000000000008</v>
      </c>
    </row>
    <row r="40" spans="1:13" x14ac:dyDescent="0.3">
      <c r="A40" s="2" t="s">
        <v>8</v>
      </c>
      <c r="B40">
        <v>4.7789999999999999</v>
      </c>
      <c r="C40">
        <v>5.5359999999999996</v>
      </c>
      <c r="D40">
        <v>4.99</v>
      </c>
      <c r="E40">
        <v>4.9930000000000003</v>
      </c>
      <c r="F40">
        <v>4.6139999999999999</v>
      </c>
      <c r="G40">
        <v>5.0049999999999999</v>
      </c>
      <c r="H40">
        <v>4.7649999999999997</v>
      </c>
      <c r="I40">
        <v>5.8609999999999998</v>
      </c>
      <c r="J40">
        <v>4.9340000000000002</v>
      </c>
      <c r="K40">
        <v>4.7290000000000001</v>
      </c>
      <c r="L40" s="1">
        <f t="shared" si="2"/>
        <v>5.0206</v>
      </c>
    </row>
    <row r="41" spans="1:13" x14ac:dyDescent="0.3">
      <c r="A41" s="2" t="s">
        <v>9</v>
      </c>
      <c r="B41">
        <v>9.7639999999999993</v>
      </c>
      <c r="C41">
        <v>8.4280000000000008</v>
      </c>
      <c r="D41">
        <v>8.1310000000000002</v>
      </c>
      <c r="E41">
        <v>8.5830000000000002</v>
      </c>
      <c r="F41">
        <v>8.0719999999999992</v>
      </c>
      <c r="G41">
        <v>8.5030000000000001</v>
      </c>
      <c r="H41">
        <v>8.1310000000000002</v>
      </c>
      <c r="I41">
        <v>8.1180000000000003</v>
      </c>
      <c r="J41">
        <v>8.1010000000000009</v>
      </c>
      <c r="K41">
        <v>8.1229999999999993</v>
      </c>
      <c r="L41" s="1">
        <f t="shared" si="2"/>
        <v>8.3953999999999986</v>
      </c>
      <c r="M41">
        <f>AVERAGE(C41:K41)</f>
        <v>8.2433333333333341</v>
      </c>
    </row>
    <row r="42" spans="1:13" x14ac:dyDescent="0.3">
      <c r="A42" s="2" t="s">
        <v>10</v>
      </c>
      <c r="B42">
        <v>0.215</v>
      </c>
      <c r="C42">
        <v>0.20300000000000001</v>
      </c>
      <c r="D42">
        <v>0.22</v>
      </c>
      <c r="E42">
        <v>0.25800000000000001</v>
      </c>
      <c r="F42">
        <v>0.19500000000000001</v>
      </c>
      <c r="G42">
        <v>0.28499999999999998</v>
      </c>
      <c r="H42">
        <v>0.193</v>
      </c>
      <c r="I42">
        <v>0.19500000000000001</v>
      </c>
      <c r="J42">
        <v>0.192</v>
      </c>
      <c r="K42">
        <v>0.30099999999999999</v>
      </c>
      <c r="L42" s="1">
        <f t="shared" si="2"/>
        <v>0.22570000000000001</v>
      </c>
    </row>
    <row r="43" spans="1:13" x14ac:dyDescent="0.3">
      <c r="A43" s="2" t="s">
        <v>25</v>
      </c>
      <c r="B43">
        <v>6.0000000000000001E-3</v>
      </c>
      <c r="C43">
        <v>4.0000000000000001E-3</v>
      </c>
      <c r="D43">
        <v>4.0000000000000001E-3</v>
      </c>
      <c r="E43">
        <v>8.9999999999999993E-3</v>
      </c>
      <c r="F43">
        <v>4.0000000000000001E-3</v>
      </c>
      <c r="G43">
        <v>4.0000000000000001E-3</v>
      </c>
      <c r="H43">
        <v>4.0000000000000001E-3</v>
      </c>
      <c r="I43">
        <v>3.0000000000000001E-3</v>
      </c>
      <c r="J43">
        <v>4.0000000000000001E-3</v>
      </c>
      <c r="K43">
        <v>3.0000000000000001E-3</v>
      </c>
      <c r="L43" s="1">
        <f t="shared" si="2"/>
        <v>4.5000000000000014E-3</v>
      </c>
    </row>
    <row r="44" spans="1:13" x14ac:dyDescent="0.3">
      <c r="A44" s="2" t="s">
        <v>11</v>
      </c>
      <c r="B44">
        <v>5.3999999999999999E-2</v>
      </c>
      <c r="C44">
        <v>7.3999999999999996E-2</v>
      </c>
      <c r="D44">
        <v>5.2999999999999999E-2</v>
      </c>
      <c r="E44">
        <v>5.5E-2</v>
      </c>
      <c r="F44">
        <v>0.06</v>
      </c>
      <c r="G44">
        <v>7.5999999999999998E-2</v>
      </c>
      <c r="H44">
        <v>8.4000000000000005E-2</v>
      </c>
      <c r="I44">
        <v>6.7000000000000004E-2</v>
      </c>
      <c r="J44">
        <v>5.7000000000000002E-2</v>
      </c>
      <c r="K44">
        <v>7.1999999999999995E-2</v>
      </c>
      <c r="L44" s="1">
        <f t="shared" si="2"/>
        <v>6.5200000000000008E-2</v>
      </c>
    </row>
    <row r="45" spans="1:13" x14ac:dyDescent="0.3">
      <c r="A45" s="2" t="s">
        <v>12</v>
      </c>
      <c r="B45">
        <v>0.16600000000000001</v>
      </c>
      <c r="C45">
        <v>0.247</v>
      </c>
      <c r="D45">
        <v>0.17100000000000001</v>
      </c>
      <c r="E45">
        <v>0.20100000000000001</v>
      </c>
      <c r="F45">
        <v>0.16600000000000001</v>
      </c>
      <c r="G45">
        <v>0.17199999999999999</v>
      </c>
      <c r="H45">
        <v>0.20100000000000001</v>
      </c>
      <c r="I45">
        <v>0.20300000000000001</v>
      </c>
      <c r="J45">
        <v>0.16800000000000001</v>
      </c>
      <c r="K45">
        <v>0.16600000000000001</v>
      </c>
      <c r="L45" s="1">
        <f t="shared" si="2"/>
        <v>0.18610000000000002</v>
      </c>
      <c r="M45">
        <f>AVERAGE(B45,D45:K45)</f>
        <v>0.17933333333333334</v>
      </c>
    </row>
    <row r="46" spans="1:13" x14ac:dyDescent="0.3">
      <c r="A46" s="2" t="s">
        <v>13</v>
      </c>
      <c r="B46">
        <v>0.51300000000000001</v>
      </c>
      <c r="C46">
        <v>0.499</v>
      </c>
      <c r="D46">
        <v>0.53</v>
      </c>
      <c r="E46">
        <v>0.48499999999999999</v>
      </c>
      <c r="F46">
        <v>0.64600000000000002</v>
      </c>
      <c r="G46">
        <v>0.498</v>
      </c>
      <c r="H46">
        <v>0.497</v>
      </c>
      <c r="I46">
        <v>0.51900000000000002</v>
      </c>
      <c r="J46">
        <v>0.49399999999999999</v>
      </c>
      <c r="K46">
        <v>0.49099999999999999</v>
      </c>
      <c r="L46" s="1">
        <f t="shared" si="2"/>
        <v>0.51719999999999999</v>
      </c>
      <c r="M46">
        <f>AVERAGE(B46:E46,G46:K46)</f>
        <v>0.50288888888888883</v>
      </c>
    </row>
    <row r="47" spans="1:13" x14ac:dyDescent="0.3">
      <c r="A47" s="2" t="s">
        <v>18</v>
      </c>
      <c r="B47">
        <v>3.5999999999999997E-2</v>
      </c>
      <c r="C47">
        <v>4.3999999999999997E-2</v>
      </c>
      <c r="D47">
        <v>5.7000000000000002E-2</v>
      </c>
      <c r="E47">
        <v>5.1999999999999998E-2</v>
      </c>
      <c r="F47">
        <v>3.7999999999999999E-2</v>
      </c>
      <c r="G47">
        <v>0.03</v>
      </c>
      <c r="H47">
        <v>2.9000000000000001E-2</v>
      </c>
      <c r="I47">
        <v>5.2999999999999999E-2</v>
      </c>
      <c r="J47">
        <v>4.1000000000000002E-2</v>
      </c>
      <c r="K47">
        <v>3.1E-2</v>
      </c>
      <c r="L47" s="1">
        <f t="shared" si="2"/>
        <v>4.1100000000000005E-2</v>
      </c>
    </row>
    <row r="49" spans="1:13" x14ac:dyDescent="0.3">
      <c r="A49" t="s">
        <v>17</v>
      </c>
    </row>
    <row r="50" spans="1:13" x14ac:dyDescent="0.3">
      <c r="A50" s="2" t="s">
        <v>0</v>
      </c>
      <c r="B50">
        <v>83.968999999999994</v>
      </c>
      <c r="C50">
        <v>81.147000000000006</v>
      </c>
      <c r="D50">
        <v>81.33</v>
      </c>
      <c r="E50">
        <v>80.468999999999994</v>
      </c>
      <c r="F50">
        <v>81.644999999999996</v>
      </c>
      <c r="G50">
        <v>84.706000000000003</v>
      </c>
      <c r="H50">
        <v>82.751999999999995</v>
      </c>
      <c r="I50">
        <v>82.673000000000002</v>
      </c>
      <c r="J50">
        <v>80.385999999999996</v>
      </c>
      <c r="K50">
        <v>82.07</v>
      </c>
      <c r="L50" s="1">
        <f>AVERAGE(B50:K50)</f>
        <v>82.114699999999999</v>
      </c>
    </row>
    <row r="51" spans="1:13" x14ac:dyDescent="0.3">
      <c r="A51" s="2" t="s">
        <v>3</v>
      </c>
      <c r="B51">
        <v>10.324</v>
      </c>
      <c r="C51">
        <v>10.726000000000001</v>
      </c>
      <c r="D51">
        <v>10.536</v>
      </c>
      <c r="E51">
        <v>10.573</v>
      </c>
      <c r="F51">
        <v>10.6</v>
      </c>
      <c r="G51">
        <v>10.821999999999999</v>
      </c>
      <c r="H51">
        <v>10.701000000000001</v>
      </c>
      <c r="I51">
        <v>10.961</v>
      </c>
      <c r="J51">
        <v>10.587999999999999</v>
      </c>
      <c r="K51">
        <v>10.629</v>
      </c>
      <c r="L51" s="1">
        <f t="shared" ref="L51:L63" si="3">AVERAGE(B51:K51)</f>
        <v>10.646000000000001</v>
      </c>
    </row>
    <row r="52" spans="1:13" x14ac:dyDescent="0.3">
      <c r="A52" s="2" t="s">
        <v>4</v>
      </c>
      <c r="B52">
        <v>5.5830000000000002</v>
      </c>
      <c r="C52">
        <v>5.2359999999999998</v>
      </c>
      <c r="D52">
        <v>4.6669999999999998</v>
      </c>
      <c r="E52">
        <v>4.7069999999999999</v>
      </c>
      <c r="F52">
        <v>5.1639999999999997</v>
      </c>
      <c r="G52">
        <v>4.7549999999999999</v>
      </c>
      <c r="H52">
        <v>4.9580000000000002</v>
      </c>
      <c r="I52">
        <v>4.7460000000000004</v>
      </c>
      <c r="J52">
        <v>4.6379999999999999</v>
      </c>
      <c r="K52">
        <v>5.7729999999999997</v>
      </c>
      <c r="L52" s="1">
        <f t="shared" si="3"/>
        <v>5.0227000000000004</v>
      </c>
    </row>
    <row r="53" spans="1:13" x14ac:dyDescent="0.3">
      <c r="A53" s="2" t="s">
        <v>5</v>
      </c>
      <c r="B53">
        <v>0.29699999999999999</v>
      </c>
      <c r="C53">
        <v>0.21299999999999999</v>
      </c>
      <c r="D53">
        <v>0.26600000000000001</v>
      </c>
      <c r="E53">
        <v>0.21099999999999999</v>
      </c>
      <c r="F53">
        <v>0.27800000000000002</v>
      </c>
      <c r="G53">
        <v>0.20899999999999999</v>
      </c>
      <c r="H53">
        <v>0.28199999999999997</v>
      </c>
      <c r="I53">
        <v>0.216</v>
      </c>
      <c r="J53">
        <v>0.20799999999999999</v>
      </c>
      <c r="K53">
        <v>0.23499999999999999</v>
      </c>
      <c r="L53" s="1">
        <f t="shared" si="3"/>
        <v>0.24149999999999999</v>
      </c>
    </row>
    <row r="54" spans="1:13" x14ac:dyDescent="0.3">
      <c r="A54" s="2" t="s">
        <v>6</v>
      </c>
      <c r="B54">
        <v>0.48399999999999999</v>
      </c>
      <c r="C54">
        <v>0.4</v>
      </c>
      <c r="D54">
        <v>0.42299999999999999</v>
      </c>
      <c r="E54">
        <v>0.41499999999999998</v>
      </c>
      <c r="F54">
        <v>0.40400000000000003</v>
      </c>
      <c r="G54">
        <v>0.40600000000000003</v>
      </c>
      <c r="H54">
        <v>0.54100000000000004</v>
      </c>
      <c r="I54">
        <v>0.48899999999999999</v>
      </c>
      <c r="J54">
        <v>0.59399999999999997</v>
      </c>
      <c r="K54">
        <v>0.56000000000000005</v>
      </c>
      <c r="L54" s="1">
        <f t="shared" si="3"/>
        <v>0.47159999999999991</v>
      </c>
    </row>
    <row r="55" spans="1:13" x14ac:dyDescent="0.3">
      <c r="A55" s="2" t="s">
        <v>7</v>
      </c>
      <c r="B55">
        <v>0.98799999999999999</v>
      </c>
      <c r="C55">
        <v>0.91800000000000004</v>
      </c>
      <c r="D55">
        <v>1.0720000000000001</v>
      </c>
      <c r="E55">
        <v>1.135</v>
      </c>
      <c r="F55">
        <v>1.0900000000000001</v>
      </c>
      <c r="G55">
        <v>1.43</v>
      </c>
      <c r="H55">
        <v>0.77100000000000002</v>
      </c>
      <c r="I55">
        <v>0.84399999999999997</v>
      </c>
      <c r="J55">
        <v>0.745</v>
      </c>
      <c r="K55">
        <v>0.74099999999999999</v>
      </c>
      <c r="L55" s="1">
        <f t="shared" si="3"/>
        <v>0.97339999999999982</v>
      </c>
      <c r="M55">
        <f>AVERAGE(B55:F55,H55:K55)</f>
        <v>0.92266666666666675</v>
      </c>
    </row>
    <row r="56" spans="1:13" x14ac:dyDescent="0.3">
      <c r="A56" s="2" t="s">
        <v>8</v>
      </c>
      <c r="B56">
        <v>7.9859999999999998</v>
      </c>
      <c r="C56">
        <v>7.8860000000000001</v>
      </c>
      <c r="D56">
        <v>7.6269999999999998</v>
      </c>
      <c r="E56">
        <v>8.5370000000000008</v>
      </c>
      <c r="F56">
        <v>9.18</v>
      </c>
      <c r="G56">
        <v>9.1430000000000007</v>
      </c>
      <c r="H56">
        <v>7.9279999999999999</v>
      </c>
      <c r="I56">
        <v>7.7290000000000001</v>
      </c>
      <c r="J56">
        <v>8.1739999999999995</v>
      </c>
      <c r="K56">
        <v>7.7679999999999998</v>
      </c>
      <c r="L56" s="1">
        <f t="shared" si="3"/>
        <v>8.1958000000000002</v>
      </c>
    </row>
    <row r="57" spans="1:13" x14ac:dyDescent="0.3">
      <c r="A57" s="2" t="s">
        <v>9</v>
      </c>
      <c r="B57">
        <v>0.91100000000000003</v>
      </c>
      <c r="C57">
        <v>0.73299999999999998</v>
      </c>
      <c r="D57">
        <v>0.76800000000000002</v>
      </c>
      <c r="E57">
        <v>0.754</v>
      </c>
      <c r="F57">
        <v>0.92100000000000004</v>
      </c>
      <c r="G57">
        <v>0.76</v>
      </c>
      <c r="H57">
        <v>0.90100000000000002</v>
      </c>
      <c r="I57">
        <v>0.78400000000000003</v>
      </c>
      <c r="J57">
        <v>0.92900000000000005</v>
      </c>
      <c r="K57">
        <v>0.748</v>
      </c>
      <c r="L57" s="1">
        <f t="shared" si="3"/>
        <v>0.82089999999999996</v>
      </c>
    </row>
    <row r="58" spans="1:13" x14ac:dyDescent="0.3">
      <c r="A58" s="2" t="s">
        <v>10</v>
      </c>
      <c r="B58">
        <v>0.13800000000000001</v>
      </c>
      <c r="C58">
        <v>0.122</v>
      </c>
      <c r="D58">
        <v>0.11</v>
      </c>
      <c r="E58">
        <v>0.104</v>
      </c>
      <c r="F58">
        <v>0.10100000000000001</v>
      </c>
      <c r="G58">
        <v>0.121</v>
      </c>
      <c r="H58">
        <v>0.1</v>
      </c>
      <c r="I58">
        <v>0.10100000000000001</v>
      </c>
      <c r="J58">
        <v>0.126</v>
      </c>
      <c r="K58">
        <v>0.13200000000000001</v>
      </c>
      <c r="L58" s="1">
        <f t="shared" si="3"/>
        <v>0.11549999999999998</v>
      </c>
    </row>
    <row r="59" spans="1:13" x14ac:dyDescent="0.3">
      <c r="A59" s="2" t="s">
        <v>25</v>
      </c>
      <c r="B59">
        <v>0.245</v>
      </c>
      <c r="C59">
        <v>0.22800000000000001</v>
      </c>
      <c r="D59">
        <v>0.224</v>
      </c>
      <c r="E59">
        <v>0.222</v>
      </c>
      <c r="F59">
        <v>0.221</v>
      </c>
      <c r="G59">
        <v>0.22900000000000001</v>
      </c>
      <c r="H59">
        <v>0.218</v>
      </c>
      <c r="I59">
        <v>0.218</v>
      </c>
      <c r="J59">
        <v>0.217</v>
      </c>
      <c r="K59">
        <v>0.22800000000000001</v>
      </c>
      <c r="L59" s="1">
        <f t="shared" si="3"/>
        <v>0.22500000000000001</v>
      </c>
    </row>
    <row r="60" spans="1:13" x14ac:dyDescent="0.3">
      <c r="A60" s="2" t="s">
        <v>11</v>
      </c>
      <c r="B60">
        <v>0.13700000000000001</v>
      </c>
      <c r="C60">
        <v>0.125</v>
      </c>
      <c r="D60">
        <v>0.16700000000000001</v>
      </c>
      <c r="E60">
        <v>0.13300000000000001</v>
      </c>
      <c r="F60">
        <v>0.155</v>
      </c>
      <c r="G60">
        <v>0.153</v>
      </c>
      <c r="H60">
        <v>0.14000000000000001</v>
      </c>
      <c r="I60">
        <v>0.26400000000000001</v>
      </c>
      <c r="J60">
        <v>0.151</v>
      </c>
      <c r="K60">
        <v>0.13400000000000001</v>
      </c>
      <c r="L60" s="1">
        <f t="shared" si="3"/>
        <v>0.15590000000000001</v>
      </c>
      <c r="M60">
        <f>AVERAGE(B60:H60,J60:K60)</f>
        <v>0.14388888888888893</v>
      </c>
    </row>
    <row r="61" spans="1:13" x14ac:dyDescent="0.3">
      <c r="A61" s="2" t="s">
        <v>12</v>
      </c>
      <c r="B61">
        <v>0.23699999999999999</v>
      </c>
      <c r="C61">
        <v>0.19400000000000001</v>
      </c>
      <c r="D61">
        <v>0.192</v>
      </c>
      <c r="E61">
        <v>0.224</v>
      </c>
      <c r="F61">
        <v>0.182</v>
      </c>
      <c r="G61">
        <v>0.26700000000000002</v>
      </c>
      <c r="H61">
        <v>0.187</v>
      </c>
      <c r="I61">
        <v>0.17</v>
      </c>
      <c r="J61">
        <v>0.29399999999999998</v>
      </c>
      <c r="K61">
        <v>0.22</v>
      </c>
      <c r="L61" s="1">
        <f t="shared" si="3"/>
        <v>0.21669999999999998</v>
      </c>
    </row>
    <row r="62" spans="1:13" x14ac:dyDescent="0.3">
      <c r="A62" s="2" t="s">
        <v>13</v>
      </c>
      <c r="B62">
        <v>0.182</v>
      </c>
      <c r="C62">
        <v>0.20599999999999999</v>
      </c>
      <c r="D62">
        <v>0.21099999999999999</v>
      </c>
      <c r="E62">
        <v>0.17199999999999999</v>
      </c>
      <c r="F62">
        <v>0.182</v>
      </c>
      <c r="G62">
        <v>0.192</v>
      </c>
      <c r="H62">
        <v>0.187</v>
      </c>
      <c r="I62">
        <v>0.187</v>
      </c>
      <c r="J62">
        <v>0.16600000000000001</v>
      </c>
      <c r="K62">
        <v>0.26200000000000001</v>
      </c>
      <c r="L62" s="1">
        <f t="shared" si="3"/>
        <v>0.19469999999999998</v>
      </c>
      <c r="M62">
        <f>AVERAGE(B62:J62)</f>
        <v>0.18722222222222221</v>
      </c>
    </row>
    <row r="63" spans="1:13" x14ac:dyDescent="0.3">
      <c r="A63" s="3" t="s">
        <v>18</v>
      </c>
      <c r="B63">
        <v>0.21199999999999999</v>
      </c>
      <c r="C63">
        <v>0.20399999999999999</v>
      </c>
      <c r="D63">
        <v>0.13600000000000001</v>
      </c>
      <c r="E63">
        <v>0.13600000000000001</v>
      </c>
      <c r="F63">
        <v>0.13700000000000001</v>
      </c>
      <c r="G63">
        <v>0.13500000000000001</v>
      </c>
      <c r="H63">
        <v>0.23100000000000001</v>
      </c>
      <c r="I63">
        <v>0.13500000000000001</v>
      </c>
      <c r="J63">
        <v>0.23499999999999999</v>
      </c>
      <c r="K63">
        <v>0.155</v>
      </c>
      <c r="L63" s="1">
        <f t="shared" si="3"/>
        <v>0.1716</v>
      </c>
    </row>
    <row r="65" spans="1:14" x14ac:dyDescent="0.3">
      <c r="A65" t="s">
        <v>19</v>
      </c>
      <c r="N65" t="s">
        <v>21</v>
      </c>
    </row>
    <row r="66" spans="1:14" x14ac:dyDescent="0.3">
      <c r="A66" s="2" t="s">
        <v>0</v>
      </c>
      <c r="B66">
        <v>1022.43</v>
      </c>
      <c r="C66">
        <v>1019.34</v>
      </c>
      <c r="D66">
        <v>1024.5</v>
      </c>
      <c r="E66">
        <v>1025.3699999999999</v>
      </c>
      <c r="F66">
        <v>1024.72</v>
      </c>
      <c r="G66">
        <v>1024.55</v>
      </c>
      <c r="H66">
        <v>1024.3499999999999</v>
      </c>
      <c r="I66">
        <v>1024.3800000000001</v>
      </c>
      <c r="J66">
        <v>1024.0999999999999</v>
      </c>
      <c r="K66">
        <v>1024.4100000000001</v>
      </c>
      <c r="L66" s="1">
        <f>AVERAGE(B66:K66)</f>
        <v>1023.8149999999999</v>
      </c>
      <c r="N66" t="s">
        <v>20</v>
      </c>
    </row>
    <row r="67" spans="1:14" x14ac:dyDescent="0.3">
      <c r="A67" s="2" t="s">
        <v>3</v>
      </c>
      <c r="B67">
        <v>100.27200000000001</v>
      </c>
      <c r="C67">
        <v>100.34099999999999</v>
      </c>
      <c r="D67">
        <v>100.328</v>
      </c>
      <c r="E67">
        <v>100.29600000000001</v>
      </c>
      <c r="F67">
        <v>100.35</v>
      </c>
      <c r="G67">
        <v>100.306</v>
      </c>
      <c r="H67">
        <v>100.357</v>
      </c>
      <c r="I67">
        <v>100.20699999999999</v>
      </c>
      <c r="J67">
        <v>100.333</v>
      </c>
      <c r="K67">
        <v>100.246</v>
      </c>
      <c r="L67" s="1">
        <f t="shared" ref="L67:L79" si="4">AVERAGE(B67:K67)</f>
        <v>100.30359999999999</v>
      </c>
      <c r="N67" t="s">
        <v>20</v>
      </c>
    </row>
    <row r="68" spans="1:14" x14ac:dyDescent="0.3">
      <c r="A68" s="2" t="s">
        <v>4</v>
      </c>
      <c r="B68">
        <v>53158.400000000001</v>
      </c>
      <c r="C68">
        <v>52865.7</v>
      </c>
      <c r="D68">
        <v>52996.5</v>
      </c>
      <c r="E68">
        <v>51819.3</v>
      </c>
      <c r="F68">
        <v>51936.9</v>
      </c>
      <c r="G68">
        <v>51824.6</v>
      </c>
      <c r="H68">
        <v>51819.4</v>
      </c>
      <c r="I68">
        <v>51797.5</v>
      </c>
      <c r="J68">
        <v>52043.6</v>
      </c>
      <c r="K68">
        <v>51898.8</v>
      </c>
      <c r="L68" s="1">
        <f t="shared" si="4"/>
        <v>52216.07</v>
      </c>
      <c r="N68" t="s">
        <v>22</v>
      </c>
    </row>
    <row r="69" spans="1:14" x14ac:dyDescent="0.3">
      <c r="A69" s="2" t="s">
        <v>5</v>
      </c>
      <c r="B69">
        <v>74.930999999999997</v>
      </c>
      <c r="C69">
        <v>77.393000000000001</v>
      </c>
      <c r="D69">
        <v>78.227999999999994</v>
      </c>
      <c r="E69">
        <v>73.596000000000004</v>
      </c>
      <c r="F69">
        <v>75.52</v>
      </c>
      <c r="G69">
        <v>73.55</v>
      </c>
      <c r="H69">
        <v>74.037000000000006</v>
      </c>
      <c r="I69">
        <v>78.141999999999996</v>
      </c>
      <c r="J69">
        <v>75.8</v>
      </c>
      <c r="K69">
        <v>75.171999999999997</v>
      </c>
      <c r="L69" s="1">
        <f t="shared" si="4"/>
        <v>75.636899999999997</v>
      </c>
      <c r="N69" t="s">
        <v>22</v>
      </c>
    </row>
    <row r="70" spans="1:14" x14ac:dyDescent="0.3">
      <c r="A70" s="2" t="s">
        <v>6</v>
      </c>
      <c r="B70">
        <v>93.492000000000004</v>
      </c>
      <c r="C70">
        <v>92.46</v>
      </c>
      <c r="D70">
        <v>91.793000000000006</v>
      </c>
      <c r="E70">
        <v>90.631</v>
      </c>
      <c r="F70">
        <v>92.025999999999996</v>
      </c>
      <c r="G70">
        <v>88.54</v>
      </c>
      <c r="H70">
        <v>91.088999999999999</v>
      </c>
      <c r="I70">
        <v>89.242999999999995</v>
      </c>
      <c r="J70">
        <v>91.471999999999994</v>
      </c>
      <c r="K70">
        <v>92.117000000000004</v>
      </c>
      <c r="L70" s="1">
        <f t="shared" si="4"/>
        <v>91.286299999999983</v>
      </c>
      <c r="N70" t="s">
        <v>22</v>
      </c>
    </row>
    <row r="71" spans="1:14" x14ac:dyDescent="0.3">
      <c r="A71" s="2" t="s">
        <v>7</v>
      </c>
      <c r="B71">
        <v>133.01499999999999</v>
      </c>
      <c r="C71">
        <v>125.217</v>
      </c>
      <c r="D71">
        <v>119.634</v>
      </c>
      <c r="E71">
        <v>122.62</v>
      </c>
      <c r="F71">
        <v>124.05800000000001</v>
      </c>
      <c r="G71">
        <v>124.81</v>
      </c>
      <c r="H71">
        <v>124.38500000000001</v>
      </c>
      <c r="I71">
        <v>124.64400000000001</v>
      </c>
      <c r="J71">
        <v>134.892</v>
      </c>
      <c r="K71">
        <v>121.77200000000001</v>
      </c>
      <c r="L71" s="1">
        <f t="shared" si="4"/>
        <v>125.5047</v>
      </c>
      <c r="N71" t="s">
        <v>22</v>
      </c>
    </row>
    <row r="72" spans="1:14" x14ac:dyDescent="0.3">
      <c r="A72" s="2" t="s">
        <v>8</v>
      </c>
      <c r="B72">
        <v>78.908000000000001</v>
      </c>
      <c r="C72">
        <v>78.936800000000005</v>
      </c>
      <c r="D72">
        <v>78.990399999999994</v>
      </c>
      <c r="E72">
        <v>78.934899999999999</v>
      </c>
      <c r="F72">
        <v>78.926100000000005</v>
      </c>
      <c r="G72">
        <v>78.9435</v>
      </c>
      <c r="H72">
        <v>78.958799999999997</v>
      </c>
      <c r="I72">
        <v>78.945899999999995</v>
      </c>
      <c r="J72">
        <v>78.952699999999993</v>
      </c>
      <c r="K72">
        <v>78.936700000000002</v>
      </c>
      <c r="L72" s="1">
        <f t="shared" si="4"/>
        <v>78.943380000000005</v>
      </c>
      <c r="N72" t="s">
        <v>20</v>
      </c>
    </row>
    <row r="73" spans="1:14" x14ac:dyDescent="0.3">
      <c r="A73" s="2" t="s">
        <v>9</v>
      </c>
      <c r="B73">
        <v>55.448999999999998</v>
      </c>
      <c r="C73">
        <v>56.625</v>
      </c>
      <c r="D73">
        <v>56.091999999999999</v>
      </c>
      <c r="E73">
        <v>54.838999999999999</v>
      </c>
      <c r="F73">
        <v>55.417999999999999</v>
      </c>
      <c r="G73">
        <v>55.945999999999998</v>
      </c>
      <c r="H73">
        <v>56.902000000000001</v>
      </c>
      <c r="I73">
        <v>57.323</v>
      </c>
      <c r="J73">
        <v>58.695999999999998</v>
      </c>
      <c r="K73">
        <v>55.710999999999999</v>
      </c>
      <c r="L73" s="1">
        <f t="shared" si="4"/>
        <v>56.3001</v>
      </c>
      <c r="N73" t="s">
        <v>22</v>
      </c>
    </row>
    <row r="74" spans="1:14" x14ac:dyDescent="0.3">
      <c r="A74" s="2" t="s">
        <v>10</v>
      </c>
      <c r="B74">
        <v>58.587000000000003</v>
      </c>
      <c r="C74">
        <v>56.679000000000002</v>
      </c>
      <c r="D74">
        <v>59.984000000000002</v>
      </c>
      <c r="E74">
        <v>55.084000000000003</v>
      </c>
      <c r="F74">
        <v>56.768000000000001</v>
      </c>
      <c r="G74">
        <v>55.783999999999999</v>
      </c>
      <c r="H74">
        <v>56.863999999999997</v>
      </c>
      <c r="I74">
        <v>57.112000000000002</v>
      </c>
      <c r="J74">
        <v>56.8</v>
      </c>
      <c r="K74">
        <v>56.05</v>
      </c>
      <c r="L74" s="1">
        <f t="shared" si="4"/>
        <v>56.971199999999989</v>
      </c>
      <c r="N74" t="s">
        <v>22</v>
      </c>
    </row>
    <row r="75" spans="1:14" x14ac:dyDescent="0.3">
      <c r="A75" s="2" t="s">
        <v>25</v>
      </c>
      <c r="B75">
        <v>39.533000000000001</v>
      </c>
      <c r="C75">
        <v>41.499000000000002</v>
      </c>
      <c r="D75">
        <v>40.286000000000001</v>
      </c>
      <c r="E75">
        <v>38.704999999999998</v>
      </c>
      <c r="F75">
        <v>39.518000000000001</v>
      </c>
      <c r="G75">
        <v>38.792000000000002</v>
      </c>
      <c r="H75">
        <v>39.182000000000002</v>
      </c>
      <c r="I75">
        <v>39.079000000000001</v>
      </c>
      <c r="J75">
        <v>41.015000000000001</v>
      </c>
      <c r="K75">
        <v>38.923999999999999</v>
      </c>
      <c r="L75" s="1">
        <f t="shared" si="4"/>
        <v>39.653300000000002</v>
      </c>
    </row>
    <row r="76" spans="1:14" x14ac:dyDescent="0.3">
      <c r="A76" s="2" t="s">
        <v>11</v>
      </c>
      <c r="B76">
        <v>31.417999999999999</v>
      </c>
      <c r="C76">
        <v>30.547999999999998</v>
      </c>
      <c r="D76">
        <v>30.044</v>
      </c>
      <c r="E76">
        <v>31.917999999999999</v>
      </c>
      <c r="F76">
        <v>24.518999999999998</v>
      </c>
      <c r="G76">
        <v>27.77</v>
      </c>
      <c r="H76">
        <v>24.603000000000002</v>
      </c>
      <c r="I76">
        <v>28.132000000000001</v>
      </c>
      <c r="J76">
        <v>27.396999999999998</v>
      </c>
      <c r="K76">
        <v>29.189</v>
      </c>
      <c r="L76" s="1">
        <f t="shared" si="4"/>
        <v>28.553800000000006</v>
      </c>
      <c r="N76" t="s">
        <v>22</v>
      </c>
    </row>
    <row r="77" spans="1:14" x14ac:dyDescent="0.3">
      <c r="A77" s="2" t="s">
        <v>12</v>
      </c>
      <c r="B77">
        <v>30.311</v>
      </c>
      <c r="C77">
        <v>29.847999999999999</v>
      </c>
      <c r="D77">
        <v>32.551000000000002</v>
      </c>
      <c r="E77">
        <v>29.073</v>
      </c>
      <c r="F77">
        <v>30.05</v>
      </c>
      <c r="G77">
        <v>29.45</v>
      </c>
      <c r="H77">
        <v>28.905999999999999</v>
      </c>
      <c r="I77">
        <v>28.91</v>
      </c>
      <c r="J77">
        <v>30.678000000000001</v>
      </c>
      <c r="K77">
        <v>31.478000000000002</v>
      </c>
      <c r="L77" s="1">
        <f t="shared" si="4"/>
        <v>30.125500000000006</v>
      </c>
      <c r="N77" t="s">
        <v>22</v>
      </c>
    </row>
    <row r="78" spans="1:14" x14ac:dyDescent="0.3">
      <c r="A78" s="2" t="s">
        <v>13</v>
      </c>
      <c r="B78">
        <v>174.923</v>
      </c>
      <c r="C78">
        <v>182.446</v>
      </c>
      <c r="D78">
        <v>157.17500000000001</v>
      </c>
      <c r="E78">
        <v>167.626</v>
      </c>
      <c r="F78">
        <v>166.09700000000001</v>
      </c>
      <c r="G78">
        <v>163.90600000000001</v>
      </c>
      <c r="H78">
        <v>177.63300000000001</v>
      </c>
      <c r="I78">
        <v>162.19499999999999</v>
      </c>
      <c r="J78">
        <v>158.62100000000001</v>
      </c>
      <c r="K78">
        <v>167.88300000000001</v>
      </c>
      <c r="L78" s="1">
        <f t="shared" si="4"/>
        <v>167.85050000000001</v>
      </c>
      <c r="N78" t="s">
        <v>22</v>
      </c>
    </row>
    <row r="79" spans="1:14" x14ac:dyDescent="0.3">
      <c r="A79" s="3" t="s">
        <v>18</v>
      </c>
      <c r="B79">
        <v>51.906999999999996</v>
      </c>
      <c r="C79">
        <v>51.91</v>
      </c>
      <c r="D79">
        <v>51.822000000000003</v>
      </c>
      <c r="E79">
        <v>53.895000000000003</v>
      </c>
      <c r="F79">
        <v>50.481999999999999</v>
      </c>
      <c r="G79">
        <v>51.725000000000001</v>
      </c>
      <c r="H79">
        <v>50.765999999999998</v>
      </c>
      <c r="I79">
        <v>51.061</v>
      </c>
      <c r="J79">
        <v>50.253</v>
      </c>
      <c r="K79">
        <v>52.76</v>
      </c>
      <c r="L79" s="1">
        <f t="shared" si="4"/>
        <v>51.658100000000005</v>
      </c>
      <c r="N79" t="s">
        <v>22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浅い</dc:creator>
  <cp:lastModifiedBy>い 浅</cp:lastModifiedBy>
  <dcterms:created xsi:type="dcterms:W3CDTF">2015-06-05T18:19:34Z</dcterms:created>
  <dcterms:modified xsi:type="dcterms:W3CDTF">2025-11-29T14:58:20Z</dcterms:modified>
</cp:coreProperties>
</file>